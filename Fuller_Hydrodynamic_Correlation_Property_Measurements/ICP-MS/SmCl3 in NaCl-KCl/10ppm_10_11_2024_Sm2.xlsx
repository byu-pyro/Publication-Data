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1613" documentId="11_4AB480A97D773D78B6F332151CC35944F734729B" xr6:coauthVersionLast="47" xr6:coauthVersionMax="47" xr10:uidLastSave="{715BCD91-EDCC-4971-AB2A-FD0A09D20496}"/>
  <bookViews>
    <workbookView xWindow="19200" yWindow="0" windowWidth="19200" windowHeight="21000" activeTab="3" xr2:uid="{00000000-000D-0000-FFFF-FFFF00000000}"/>
  </bookViews>
  <sheets>
    <sheet name="Prep" sheetId="1" r:id="rId1"/>
    <sheet name="Randomizer" sheetId="2" r:id="rId2"/>
    <sheet name="Full" sheetId="4" r:id="rId3"/>
    <sheet name="Calculations" sheetId="5" r:id="rId4"/>
  </sheets>
  <definedNames>
    <definedName name="solver_adj" localSheetId="3" hidden="1">Calculations!$L$21:$L$22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Calculations!$M$21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5" l="1"/>
  <c r="D10" i="5"/>
  <c r="C10" i="5"/>
  <c r="B10" i="5"/>
  <c r="E10" i="5"/>
  <c r="D20" i="5"/>
  <c r="L23" i="5"/>
  <c r="I23" i="5"/>
  <c r="F23" i="5"/>
  <c r="K20" i="5"/>
  <c r="H20" i="5"/>
  <c r="E20" i="5"/>
  <c r="I20" i="5"/>
  <c r="C20" i="5"/>
  <c r="B20" i="5"/>
  <c r="K19" i="5"/>
  <c r="H19" i="5"/>
  <c r="E19" i="5"/>
  <c r="C19" i="5"/>
  <c r="B19" i="5"/>
  <c r="D19" i="5" s="1"/>
  <c r="K18" i="5"/>
  <c r="H18" i="5"/>
  <c r="E18" i="5"/>
  <c r="D18" i="5"/>
  <c r="I18" i="5" s="1"/>
  <c r="C18" i="5"/>
  <c r="B18" i="5"/>
  <c r="K17" i="5"/>
  <c r="H17" i="5"/>
  <c r="E17" i="5"/>
  <c r="C17" i="5"/>
  <c r="B17" i="5"/>
  <c r="D17" i="5" s="1"/>
  <c r="K16" i="5"/>
  <c r="H16" i="5"/>
  <c r="E16" i="5"/>
  <c r="D16" i="5"/>
  <c r="I16" i="5" s="1"/>
  <c r="C16" i="5"/>
  <c r="B16" i="5"/>
  <c r="L15" i="5"/>
  <c r="I15" i="5"/>
  <c r="F15" i="5"/>
  <c r="L24" i="5" l="1"/>
  <c r="L25" i="5" s="1"/>
  <c r="F24" i="5"/>
  <c r="I24" i="5"/>
  <c r="I25" i="5" s="1"/>
  <c r="J20" i="5"/>
  <c r="J16" i="5"/>
  <c r="F17" i="5"/>
  <c r="G17" i="5" s="1"/>
  <c r="L17" i="5"/>
  <c r="M17" i="5" s="1"/>
  <c r="I17" i="5"/>
  <c r="J17" i="5" s="1"/>
  <c r="J18" i="5"/>
  <c r="F19" i="5"/>
  <c r="G19" i="5" s="1"/>
  <c r="L19" i="5"/>
  <c r="M19" i="5" s="1"/>
  <c r="I19" i="5"/>
  <c r="J19" i="5" s="1"/>
  <c r="F16" i="5"/>
  <c r="G16" i="5" s="1"/>
  <c r="F18" i="5"/>
  <c r="G18" i="5" s="1"/>
  <c r="F20" i="5"/>
  <c r="G20" i="5" s="1"/>
  <c r="L16" i="5"/>
  <c r="M16" i="5" s="1"/>
  <c r="L20" i="5"/>
  <c r="M20" i="5" s="1"/>
  <c r="L18" i="5"/>
  <c r="M18" i="5" s="1"/>
  <c r="E27" i="5" l="1"/>
  <c r="J21" i="5"/>
  <c r="M21" i="5"/>
  <c r="G21" i="5"/>
  <c r="I10" i="5"/>
  <c r="T3" i="5"/>
  <c r="M4" i="5"/>
  <c r="K4" i="5"/>
  <c r="I4" i="5"/>
  <c r="Q3" i="5"/>
  <c r="M3" i="5"/>
  <c r="M6" i="5" s="1"/>
  <c r="K3" i="5"/>
  <c r="K6" i="5" s="1"/>
  <c r="I3" i="5"/>
  <c r="I6" i="5" s="1"/>
  <c r="L3" i="1"/>
  <c r="F3" i="1"/>
  <c r="I2" i="1"/>
  <c r="AA8" i="1"/>
  <c r="Z8" i="1"/>
  <c r="AD8" i="1" s="1"/>
  <c r="Y8" i="1"/>
  <c r="AC8" i="1" s="1"/>
  <c r="Y9" i="1" s="1"/>
  <c r="Y10" i="1" s="1"/>
  <c r="S8" i="1"/>
  <c r="R8" i="1"/>
  <c r="U8" i="1" s="1"/>
  <c r="R9" i="1" s="1"/>
  <c r="U17" i="1"/>
  <c r="U16" i="1"/>
  <c r="U15" i="1"/>
  <c r="U14" i="1"/>
  <c r="U13" i="1"/>
  <c r="E6" i="2"/>
  <c r="E4" i="2"/>
  <c r="E5" i="2"/>
  <c r="E3" i="2"/>
  <c r="E2" i="2"/>
  <c r="F14" i="1"/>
  <c r="E14" i="1"/>
  <c r="D14" i="1"/>
  <c r="C14" i="1"/>
  <c r="B14" i="1"/>
  <c r="U22" i="1"/>
  <c r="I13" i="1"/>
  <c r="U21" i="1"/>
  <c r="U20" i="1"/>
  <c r="U19" i="1"/>
  <c r="U18" i="1"/>
  <c r="I7" i="1"/>
  <c r="K3" i="1"/>
  <c r="H10" i="5" l="1"/>
  <c r="L10" i="5" s="1"/>
  <c r="G10" i="5"/>
  <c r="K10" i="5" s="1"/>
  <c r="F10" i="5"/>
  <c r="J10" i="5" s="1"/>
  <c r="K13" i="1"/>
  <c r="J13" i="1" s="1"/>
  <c r="K7" i="1" l="1"/>
  <c r="J7" i="1" s="1"/>
</calcChain>
</file>

<file path=xl/sharedStrings.xml><?xml version="1.0" encoding="utf-8"?>
<sst xmlns="http://schemas.openxmlformats.org/spreadsheetml/2006/main" count="210" uniqueCount="114">
  <si>
    <t>Flask</t>
  </si>
  <si>
    <t>Sample Name</t>
  </si>
  <si>
    <t>Solute</t>
  </si>
  <si>
    <t>Solvent</t>
  </si>
  <si>
    <t>flask w/ lid</t>
  </si>
  <si>
    <t>+ solvent</t>
  </si>
  <si>
    <t>+ sample</t>
  </si>
  <si>
    <t>Sample</t>
  </si>
  <si>
    <t>Total Solution</t>
  </si>
  <si>
    <t>Mass Frac</t>
  </si>
  <si>
    <t>PPM</t>
  </si>
  <si>
    <t>Sm PPM</t>
  </si>
  <si>
    <t xml:space="preserve"> Sm Standard Preperetion</t>
  </si>
  <si>
    <t>Cr Standard Preperetion</t>
  </si>
  <si>
    <t>B15</t>
  </si>
  <si>
    <t>Blank</t>
  </si>
  <si>
    <t>2% HNO3</t>
  </si>
  <si>
    <t>Sm ISmtial Concentration</t>
  </si>
  <si>
    <t>Target Concentration</t>
  </si>
  <si>
    <t>Cr ISmtial Concentration</t>
  </si>
  <si>
    <t>B17</t>
  </si>
  <si>
    <t>Sm 2</t>
  </si>
  <si>
    <t>ppm</t>
  </si>
  <si>
    <t xml:space="preserve">Blank </t>
  </si>
  <si>
    <t>Final</t>
  </si>
  <si>
    <t>Goal (ppm)</t>
  </si>
  <si>
    <t>Dilution (x)</t>
  </si>
  <si>
    <t>C_Sm (ppm)</t>
  </si>
  <si>
    <t>C_actual (ppm)</t>
  </si>
  <si>
    <t>Solution</t>
  </si>
  <si>
    <t>Dilution(x)</t>
  </si>
  <si>
    <t>P. Dilution(x)</t>
  </si>
  <si>
    <t>Dilution</t>
  </si>
  <si>
    <t>Final Concentration</t>
  </si>
  <si>
    <t>Partial Conc</t>
  </si>
  <si>
    <t>Final Conc</t>
  </si>
  <si>
    <t>NAME</t>
  </si>
  <si>
    <t>Sample Weight</t>
  </si>
  <si>
    <t>Stan Weight</t>
  </si>
  <si>
    <t>HNO3 Weight</t>
  </si>
  <si>
    <t>Total</t>
  </si>
  <si>
    <t>Blank - 0</t>
  </si>
  <si>
    <t>Blank - 0.5</t>
  </si>
  <si>
    <t>Blank - 1</t>
  </si>
  <si>
    <t>Blank - 1.5</t>
  </si>
  <si>
    <t xml:space="preserve">Blank - 2 </t>
  </si>
  <si>
    <t>Sm2 - 0</t>
  </si>
  <si>
    <t>Sm2 - 0.5</t>
  </si>
  <si>
    <t>Sm2 - 1</t>
  </si>
  <si>
    <t>Sm2 - 1.5</t>
  </si>
  <si>
    <t>Sm2 - 2</t>
  </si>
  <si>
    <t>Column1</t>
  </si>
  <si>
    <t>Column2</t>
  </si>
  <si>
    <t>Column3</t>
  </si>
  <si>
    <t>Column4</t>
  </si>
  <si>
    <t>Column5</t>
  </si>
  <si>
    <t xml:space="preserve">147  Sm  [ He ] </t>
  </si>
  <si>
    <t xml:space="preserve">148  Sm  [ He ] </t>
  </si>
  <si>
    <t xml:space="preserve">152  Sm  [ He ] </t>
  </si>
  <si>
    <t>Rjct</t>
  </si>
  <si>
    <t>Data File</t>
  </si>
  <si>
    <t>Acq. Date-Time</t>
  </si>
  <si>
    <t>Type</t>
  </si>
  <si>
    <t>Level</t>
  </si>
  <si>
    <t>CPS</t>
  </si>
  <si>
    <t>CPS RSD</t>
  </si>
  <si>
    <t>001SMPL.d</t>
  </si>
  <si>
    <t>########</t>
  </si>
  <si>
    <t>Rinse</t>
  </si>
  <si>
    <t>002SMPL.d</t>
  </si>
  <si>
    <t>003SMPL.d</t>
  </si>
  <si>
    <t>004SMPL.d</t>
  </si>
  <si>
    <t>005SMPL.d</t>
  </si>
  <si>
    <t>006SMPL.d</t>
  </si>
  <si>
    <t>007SMPL.d</t>
  </si>
  <si>
    <t>008SMPL.d</t>
  </si>
  <si>
    <t>Name</t>
  </si>
  <si>
    <t>Std</t>
  </si>
  <si>
    <t>CPS2</t>
  </si>
  <si>
    <t>CPS3</t>
  </si>
  <si>
    <t>Sm (ppm)</t>
  </si>
  <si>
    <t xml:space="preserve">b = </t>
  </si>
  <si>
    <t>Vx =</t>
  </si>
  <si>
    <t>Cs =</t>
  </si>
  <si>
    <t>m =</t>
  </si>
  <si>
    <t>Cx =</t>
  </si>
  <si>
    <t>Dilution #</t>
  </si>
  <si>
    <t>OG Conc (ppm)</t>
  </si>
  <si>
    <t>147 Sm %</t>
  </si>
  <si>
    <t>148 Sm%</t>
  </si>
  <si>
    <t>152 Sm%</t>
  </si>
  <si>
    <t>Sm2_10ppm</t>
  </si>
  <si>
    <t>Replicate 1</t>
  </si>
  <si>
    <t>Replicate 2</t>
  </si>
  <si>
    <t>Replicate 3</t>
  </si>
  <si>
    <t>name</t>
  </si>
  <si>
    <t>mass of sample (g)</t>
  </si>
  <si>
    <t>mas of std (g)</t>
  </si>
  <si>
    <t>spiked Sm conc (ppm_sam)</t>
  </si>
  <si>
    <t>Counts</t>
  </si>
  <si>
    <t>yhat</t>
  </si>
  <si>
    <t>ε</t>
  </si>
  <si>
    <t>zero</t>
  </si>
  <si>
    <t>Sm1 - 0</t>
  </si>
  <si>
    <t>Sm1 - 0.5</t>
  </si>
  <si>
    <t>Sm1 - 1</t>
  </si>
  <si>
    <t>Sm1 - 1.5</t>
  </si>
  <si>
    <t>Sm1 - 2</t>
  </si>
  <si>
    <t xml:space="preserve">b/counts = </t>
  </si>
  <si>
    <t>m/(counts/ppm) =</t>
  </si>
  <si>
    <t xml:space="preserve">Cx/ppm = </t>
  </si>
  <si>
    <t xml:space="preserve">OG Sm mass frac = </t>
  </si>
  <si>
    <t xml:space="preserve">SmCl3 wt.% = </t>
  </si>
  <si>
    <t>x-axis units = g_Sm per 1 million grams of diluted sample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</si>
</sst>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"/>
    <numFmt numFmtId="166" formatCode="0.000000"/>
    <numFmt numFmtId="167" formatCode="0.000"/>
    <numFmt numFmtId="168" formatCode="0.000%"/>
  </numFmts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000000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2" borderId="0" xfId="0" applyFill="1"/>
    <xf numFmtId="0" fontId="0" fillId="0" borderId="3" xfId="0" applyBorder="1"/>
    <xf numFmtId="10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0" fontId="0" fillId="0" borderId="1" xfId="0" applyBorder="1"/>
    <xf numFmtId="0" fontId="0" fillId="0" borderId="4" xfId="0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0" fillId="0" borderId="6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4" borderId="1" xfId="0" applyFill="1" applyBorder="1"/>
    <xf numFmtId="0" fontId="0" fillId="0" borderId="10" xfId="0" applyBorder="1"/>
    <xf numFmtId="0" fontId="8" fillId="0" borderId="11" xfId="0" applyFont="1" applyBorder="1"/>
    <xf numFmtId="0" fontId="0" fillId="5" borderId="12" xfId="0" applyFill="1" applyBorder="1"/>
    <xf numFmtId="1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0" fillId="0" borderId="13" xfId="0" applyBorder="1"/>
    <xf numFmtId="0" fontId="8" fillId="0" borderId="14" xfId="0" applyFont="1" applyBorder="1"/>
    <xf numFmtId="0" fontId="0" fillId="5" borderId="15" xfId="0" applyFill="1" applyBorder="1"/>
    <xf numFmtId="0" fontId="0" fillId="0" borderId="16" xfId="0" applyBorder="1"/>
    <xf numFmtId="1" fontId="0" fillId="0" borderId="0" xfId="0" applyNumberFormat="1"/>
    <xf numFmtId="165" fontId="0" fillId="0" borderId="17" xfId="0" applyNumberFormat="1" applyBorder="1"/>
    <xf numFmtId="0" fontId="8" fillId="0" borderId="0" xfId="0" applyFont="1"/>
    <xf numFmtId="0" fontId="0" fillId="5" borderId="0" xfId="0" applyFill="1"/>
    <xf numFmtId="0" fontId="0" fillId="0" borderId="18" xfId="0" applyBorder="1"/>
    <xf numFmtId="1" fontId="0" fillId="0" borderId="19" xfId="0" applyNumberFormat="1" applyBorder="1"/>
    <xf numFmtId="165" fontId="0" fillId="0" borderId="20" xfId="0" applyNumberFormat="1" applyBorder="1"/>
    <xf numFmtId="0" fontId="0" fillId="0" borderId="5" xfId="0" applyBorder="1"/>
    <xf numFmtId="0" fontId="9" fillId="0" borderId="0" xfId="0" applyFont="1"/>
    <xf numFmtId="0" fontId="9" fillId="0" borderId="5" xfId="0" applyFont="1" applyBorder="1"/>
    <xf numFmtId="0" fontId="10" fillId="0" borderId="5" xfId="0" applyFont="1" applyBorder="1" applyAlignment="1">
      <alignment horizontal="right"/>
    </xf>
    <xf numFmtId="0" fontId="9" fillId="0" borderId="1" xfId="0" applyFont="1" applyBorder="1"/>
    <xf numFmtId="2" fontId="3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0" fontId="11" fillId="0" borderId="0" xfId="0" applyFont="1"/>
    <xf numFmtId="166" fontId="0" fillId="0" borderId="8" xfId="0" applyNumberFormat="1" applyBorder="1"/>
    <xf numFmtId="167" fontId="0" fillId="0" borderId="9" xfId="0" applyNumberFormat="1" applyBorder="1"/>
    <xf numFmtId="0" fontId="12" fillId="0" borderId="0" xfId="0" applyFont="1"/>
    <xf numFmtId="0" fontId="11" fillId="6" borderId="21" xfId="0" applyFont="1" applyFill="1" applyBorder="1"/>
    <xf numFmtId="0" fontId="11" fillId="7" borderId="21" xfId="0" applyFont="1" applyFill="1" applyBorder="1"/>
    <xf numFmtId="0" fontId="13" fillId="8" borderId="0" xfId="0" applyFont="1" applyFill="1"/>
    <xf numFmtId="0" fontId="14" fillId="8" borderId="0" xfId="0" applyFont="1" applyFill="1"/>
    <xf numFmtId="0" fontId="12" fillId="6" borderId="0" xfId="0" applyFont="1" applyFill="1"/>
    <xf numFmtId="0" fontId="11" fillId="9" borderId="0" xfId="0" applyFont="1" applyFill="1"/>
    <xf numFmtId="0" fontId="12" fillId="9" borderId="0" xfId="0" applyFont="1" applyFill="1"/>
    <xf numFmtId="0" fontId="12" fillId="0" borderId="22" xfId="0" applyFont="1" applyBorder="1"/>
    <xf numFmtId="0" fontId="11" fillId="9" borderId="23" xfId="0" applyFont="1" applyFill="1" applyBorder="1"/>
    <xf numFmtId="0" fontId="12" fillId="9" borderId="24" xfId="0" applyFont="1" applyFill="1" applyBorder="1"/>
    <xf numFmtId="0" fontId="11" fillId="9" borderId="24" xfId="0" applyFont="1" applyFill="1" applyBorder="1"/>
    <xf numFmtId="0" fontId="11" fillId="9" borderId="25" xfId="0" applyFont="1" applyFill="1" applyBorder="1"/>
    <xf numFmtId="0" fontId="12" fillId="10" borderId="0" xfId="0" applyFont="1" applyFill="1"/>
    <xf numFmtId="0" fontId="12" fillId="11" borderId="0" xfId="0" applyFont="1" applyFill="1"/>
    <xf numFmtId="1" fontId="12" fillId="0" borderId="0" xfId="0" applyNumberFormat="1" applyFont="1"/>
    <xf numFmtId="0" fontId="0" fillId="0" borderId="2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2" fillId="9" borderId="31" xfId="0" applyFont="1" applyFill="1" applyBorder="1"/>
    <xf numFmtId="0" fontId="12" fillId="9" borderId="26" xfId="0" applyFont="1" applyFill="1" applyBorder="1"/>
    <xf numFmtId="0" fontId="12" fillId="9" borderId="32" xfId="0" applyFont="1" applyFill="1" applyBorder="1"/>
    <xf numFmtId="0" fontId="12" fillId="0" borderId="31" xfId="0" applyFont="1" applyBorder="1"/>
    <xf numFmtId="0" fontId="12" fillId="0" borderId="26" xfId="0" applyFont="1" applyBorder="1"/>
    <xf numFmtId="0" fontId="12" fillId="0" borderId="32" xfId="0" applyFont="1" applyBorder="1"/>
    <xf numFmtId="0" fontId="12" fillId="9" borderId="33" xfId="0" applyFont="1" applyFill="1" applyBorder="1"/>
    <xf numFmtId="0" fontId="12" fillId="9" borderId="27" xfId="0" applyFont="1" applyFill="1" applyBorder="1"/>
    <xf numFmtId="0" fontId="12" fillId="9" borderId="34" xfId="0" applyFont="1" applyFill="1" applyBorder="1"/>
    <xf numFmtId="0" fontId="12" fillId="0" borderId="30" xfId="0" applyFont="1" applyBorder="1"/>
    <xf numFmtId="168" fontId="0" fillId="0" borderId="0" xfId="1" applyNumberFormat="1" applyFont="1" applyBorder="1"/>
    <xf numFmtId="168" fontId="0" fillId="0" borderId="0" xfId="0" applyNumberFormat="1"/>
    <xf numFmtId="0" fontId="0" fillId="0" borderId="35" xfId="0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1" fillId="0" borderId="2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05760818359245"/>
          <c:y val="3.2727425029318143E-2"/>
          <c:w val="0.80659196446598025"/>
          <c:h val="0.67238603153329235"/>
        </c:manualLayout>
      </c:layout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5.775940781321335</c:v>
                </c:pt>
                <c:pt idx="2">
                  <c:v>11.723875466509531</c:v>
                </c:pt>
                <c:pt idx="3">
                  <c:v>16.319933489827861</c:v>
                </c:pt>
                <c:pt idx="4">
                  <c:v>21.64864820793791</c:v>
                </c:pt>
              </c:numCache>
            </c:numRef>
          </c:xVal>
          <c:yVal>
            <c:numRef>
              <c:f>Calculations!$E$16:$E$20</c:f>
              <c:numCache>
                <c:formatCode>General</c:formatCode>
                <c:ptCount val="5"/>
                <c:pt idx="0">
                  <c:v>873819.8</c:v>
                </c:pt>
                <c:pt idx="1">
                  <c:v>3049277</c:v>
                </c:pt>
                <c:pt idx="2">
                  <c:v>4665325</c:v>
                </c:pt>
                <c:pt idx="3">
                  <c:v>5897027</c:v>
                </c:pt>
                <c:pt idx="4">
                  <c:v>7468482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E3-438F-B69E-86B4B8004660}"/>
            </c:ext>
          </c:extLst>
        </c:ser>
        <c:ser>
          <c:idx val="1"/>
          <c:order val="1"/>
          <c:tx>
            <c:v>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5.775940781321335</c:v>
                </c:pt>
                <c:pt idx="2">
                  <c:v>11.723875466509531</c:v>
                </c:pt>
                <c:pt idx="3">
                  <c:v>16.319933489827861</c:v>
                </c:pt>
                <c:pt idx="4">
                  <c:v>21.64864820793791</c:v>
                </c:pt>
              </c:numCache>
            </c:numRef>
          </c:xVal>
          <c:yVal>
            <c:numRef>
              <c:f>Calculations!$H$16:$H$20</c:f>
              <c:numCache>
                <c:formatCode>General</c:formatCode>
                <c:ptCount val="5"/>
                <c:pt idx="0">
                  <c:v>673528.4</c:v>
                </c:pt>
                <c:pt idx="1">
                  <c:v>2327732</c:v>
                </c:pt>
                <c:pt idx="2">
                  <c:v>3574831</c:v>
                </c:pt>
                <c:pt idx="3">
                  <c:v>4488054</c:v>
                </c:pt>
                <c:pt idx="4">
                  <c:v>5713291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E3-438F-B69E-86B4B8004660}"/>
            </c:ext>
          </c:extLst>
        </c:ser>
        <c:ser>
          <c:idx val="2"/>
          <c:order val="2"/>
          <c:tx>
            <c:v>Replicate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5.775940781321335</c:v>
                </c:pt>
                <c:pt idx="2">
                  <c:v>11.723875466509531</c:v>
                </c:pt>
                <c:pt idx="3">
                  <c:v>16.319933489827861</c:v>
                </c:pt>
                <c:pt idx="4">
                  <c:v>21.64864820793791</c:v>
                </c:pt>
              </c:numCache>
            </c:numRef>
          </c:xVal>
          <c:yVal>
            <c:numRef>
              <c:f>Calculations!$K$16:$K$20</c:f>
              <c:numCache>
                <c:formatCode>General</c:formatCode>
                <c:ptCount val="5"/>
                <c:pt idx="0">
                  <c:v>1749272</c:v>
                </c:pt>
                <c:pt idx="1">
                  <c:v>6080140</c:v>
                </c:pt>
                <c:pt idx="2">
                  <c:v>9336501</c:v>
                </c:pt>
                <c:pt idx="3">
                  <c:v>11750363</c:v>
                </c:pt>
                <c:pt idx="4">
                  <c:v>14925605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E3-438F-B69E-86B4B8004660}"/>
            </c:ext>
          </c:extLst>
        </c:ser>
        <c:ser>
          <c:idx val="3"/>
          <c:order val="3"/>
          <c:tx>
            <c:v>147 fit</c:v>
          </c:tx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5.775940781321335</c:v>
                </c:pt>
                <c:pt idx="3">
                  <c:v>11.723875466509531</c:v>
                </c:pt>
                <c:pt idx="4">
                  <c:v>16.319933489827861</c:v>
                </c:pt>
                <c:pt idx="5">
                  <c:v>21.64864820793791</c:v>
                </c:pt>
              </c:numCache>
            </c:numRef>
          </c:xVal>
          <c:yVal>
            <c:numRef>
              <c:f>Calculations!$F$15:$F$20</c:f>
              <c:numCache>
                <c:formatCode>General</c:formatCode>
                <c:ptCount val="6"/>
                <c:pt idx="0">
                  <c:v>-297335244.97835505</c:v>
                </c:pt>
                <c:pt idx="1">
                  <c:v>1080263.9297284456</c:v>
                </c:pt>
                <c:pt idx="2">
                  <c:v>2803894.2374094054</c:v>
                </c:pt>
                <c:pt idx="3">
                  <c:v>4578850.1934418818</c:v>
                </c:pt>
                <c:pt idx="4">
                  <c:v>5950385.1874415018</c:v>
                </c:pt>
                <c:pt idx="5">
                  <c:v>7540556.3018723065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E3-438F-B69E-86B4B8004660}"/>
            </c:ext>
          </c:extLst>
        </c:ser>
        <c:ser>
          <c:idx val="4"/>
          <c:order val="4"/>
          <c:tx>
            <c:v>148 fit</c:v>
          </c:tx>
          <c:spPr>
            <a:ln w="12700" cap="rnd">
              <a:solidFill>
                <a:srgbClr val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5.775940781321335</c:v>
                </c:pt>
                <c:pt idx="3">
                  <c:v>11.723875466509531</c:v>
                </c:pt>
                <c:pt idx="4">
                  <c:v>16.319933489827861</c:v>
                </c:pt>
                <c:pt idx="5">
                  <c:v>21.64864820793791</c:v>
                </c:pt>
              </c:numCache>
            </c:numRef>
          </c:xVal>
          <c:yVal>
            <c:numRef>
              <c:f>Calculations!$I$15:$I$20</c:f>
              <c:numCache>
                <c:formatCode>General</c:formatCode>
                <c:ptCount val="6"/>
                <c:pt idx="0">
                  <c:v>-226949295.59419301</c:v>
                </c:pt>
                <c:pt idx="1">
                  <c:v>828595.21619682794</c:v>
                </c:pt>
                <c:pt idx="2">
                  <c:v>2144226.8248119168</c:v>
                </c:pt>
                <c:pt idx="3">
                  <c:v>3499034.8420820446</c:v>
                </c:pt>
                <c:pt idx="4">
                  <c:v>4545915.2446756633</c:v>
                </c:pt>
                <c:pt idx="5">
                  <c:v>5759678.643897051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E3-438F-B69E-86B4B8004660}"/>
            </c:ext>
          </c:extLst>
        </c:ser>
        <c:ser>
          <c:idx val="5"/>
          <c:order val="5"/>
          <c:tx>
            <c:v>152 fit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5.775940781321335</c:v>
                </c:pt>
                <c:pt idx="3">
                  <c:v>11.723875466509531</c:v>
                </c:pt>
                <c:pt idx="4">
                  <c:v>16.319933489827861</c:v>
                </c:pt>
                <c:pt idx="5">
                  <c:v>21.64864820793791</c:v>
                </c:pt>
              </c:numCache>
            </c:numRef>
          </c:xVal>
          <c:yVal>
            <c:numRef>
              <c:f>Calculations!$L$15:$L$20</c:f>
              <c:numCache>
                <c:formatCode>General</c:formatCode>
                <c:ptCount val="6"/>
                <c:pt idx="0">
                  <c:v>-593762167.11589932</c:v>
                </c:pt>
                <c:pt idx="1">
                  <c:v>2157442.5593413762</c:v>
                </c:pt>
                <c:pt idx="2">
                  <c:v>5599438.9352536909</c:v>
                </c:pt>
                <c:pt idx="3">
                  <c:v>9143929.8512248658</c:v>
                </c:pt>
                <c:pt idx="4">
                  <c:v>11882810.954525484</c:v>
                </c:pt>
                <c:pt idx="5">
                  <c:v>15058296.549412334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E3-438F-B69E-86B4B8004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18504"/>
        <c:axId val="860718864"/>
      </c:scatterChart>
      <c:valAx>
        <c:axId val="860718504"/>
        <c:scaling>
          <c:orientation val="minMax"/>
          <c:max val="22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Spiked Sm Concentration (ppm)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864"/>
        <c:crosses val="autoZero"/>
        <c:crossBetween val="midCat"/>
        <c:majorUnit val="5"/>
      </c:valAx>
      <c:valAx>
        <c:axId val="8607188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Intensity × 10</a:t>
                </a:r>
                <a:r>
                  <a:rPr lang="en-US" baseline="30000"/>
                  <a:t>-6</a:t>
                </a:r>
                <a:r>
                  <a:rPr lang="en-US" baseline="0"/>
                  <a:t> (CPS)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,," sourceLinked="0"/>
        <c:majorTickMark val="out"/>
        <c:minorTickMark val="out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504"/>
        <c:crossesAt val="-1000"/>
        <c:crossBetween val="midCat"/>
      </c:valAx>
      <c:spPr>
        <a:solidFill>
          <a:srgbClr val="FFFFFF"/>
        </a:solidFill>
        <a:ln w="12700">
          <a:noFill/>
          <a:prstDash val="solid"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2393162393162394"/>
          <c:y val="0.87871875058170923"/>
          <c:w val="0.77777777777777779"/>
          <c:h val="0.11632100674915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ysClr val="windowText" lastClr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22</xdr:row>
      <xdr:rowOff>60960</xdr:rowOff>
    </xdr:from>
    <xdr:to>
      <xdr:col>3</xdr:col>
      <xdr:colOff>1188720</xdr:colOff>
      <xdr:row>34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675113-1725-476B-84E0-89F716D97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E53F1-A856-44A7-8C6E-6ABF449CDDF8}" name="Table1" displayName="Table1" ref="A1:E6" totalsRowShown="0">
  <autoFilter ref="A1:E6" xr:uid="{40CE53F1-A856-44A7-8C6E-6ABF449CDDF8}"/>
  <sortState xmlns:xlrd2="http://schemas.microsoft.com/office/spreadsheetml/2017/richdata2" ref="A2:E6">
    <sortCondition ref="E1:E6"/>
  </sortState>
  <tableColumns count="5">
    <tableColumn id="1" xr3:uid="{6B197B71-1E81-47F3-A4C4-80165013CA78}" name="Column1"/>
    <tableColumn id="2" xr3:uid="{9C209523-53C1-4FD7-9C71-05C0127710A0}" name="Column2" dataDxfId="2"/>
    <tableColumn id="3" xr3:uid="{C1306BDA-5D3C-4925-936D-814D91446129}" name="Column3"/>
    <tableColumn id="4" xr3:uid="{1142699D-E65E-441F-BABC-7E809552A21D}" name="Column4"/>
    <tableColumn id="5" xr3:uid="{50E72BA8-C4B5-4B5E-8441-FCF9C341FE37}" name="Column5">
      <calculatedColumnFormula>RAND()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A1674B-C526-45DE-81DB-8A396A062B5F}" name="Table4" displayName="Table4" ref="A2:F7" totalsRowShown="0" headerRowDxfId="1" dataDxfId="0">
  <autoFilter ref="A2:F7" xr:uid="{64A1674B-C526-45DE-81DB-8A396A062B5F}"/>
  <tableColumns count="6">
    <tableColumn id="1" xr3:uid="{1CCCAC02-019F-4F86-8A36-EB99832603D9}" name="Name"/>
    <tableColumn id="2" xr3:uid="{5A681749-3F69-4AEB-BA9C-22CC1E090B0F}" name="Sample"/>
    <tableColumn id="3" xr3:uid="{F0AF2609-9C1E-4C22-9F73-99CDC8769D77}" name="Std"/>
    <tableColumn id="4" xr3:uid="{2F182CE8-4286-4FE0-A9C7-67EC41BF96C6}" name="CPS"/>
    <tableColumn id="5" xr3:uid="{3BFCA278-8C23-4BAC-87A8-928907D941E7}" name="CPS2"/>
    <tableColumn id="6" xr3:uid="{DFDD9DF3-A63D-4B44-9534-698D5119D202}" name="CPS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workbookViewId="0">
      <selection activeCell="R18" sqref="R18:S22"/>
    </sheetView>
  </sheetViews>
  <sheetFormatPr defaultRowHeight="15" x14ac:dyDescent="0.25"/>
  <cols>
    <col min="6" max="6" width="10.7109375" bestFit="1" customWidth="1"/>
    <col min="7" max="7" width="9.42578125" customWidth="1"/>
    <col min="9" max="9" width="9.5703125" customWidth="1"/>
    <col min="10" max="10" width="10.42578125" bestFit="1" customWidth="1"/>
    <col min="11" max="11" width="9.28515625" bestFit="1" customWidth="1"/>
    <col min="17" max="17" width="13.85546875" customWidth="1"/>
  </cols>
  <sheetData>
    <row r="1" spans="1:3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Q1" s="85" t="s">
        <v>12</v>
      </c>
      <c r="R1" s="85"/>
      <c r="S1" s="85"/>
      <c r="T1" s="85"/>
      <c r="U1" s="85"/>
      <c r="X1" s="85" t="s">
        <v>13</v>
      </c>
      <c r="Y1" s="85"/>
      <c r="Z1" s="85"/>
      <c r="AA1" s="85"/>
      <c r="AB1" s="85"/>
    </row>
    <row r="2" spans="1:30" ht="17.25" x14ac:dyDescent="0.3">
      <c r="A2" s="2" t="s">
        <v>14</v>
      </c>
      <c r="B2" s="3" t="s">
        <v>15</v>
      </c>
      <c r="C2" s="4"/>
      <c r="D2" s="5" t="s">
        <v>16</v>
      </c>
      <c r="E2" s="4">
        <v>8.0885999999999996</v>
      </c>
      <c r="F2" s="48">
        <v>35.020699999999998</v>
      </c>
      <c r="G2" s="48">
        <v>35.020699999999998</v>
      </c>
      <c r="H2" s="6">
        <v>0</v>
      </c>
      <c r="I2" s="48">
        <f>G2-E2</f>
        <v>26.932099999999998</v>
      </c>
      <c r="J2" s="6">
        <v>1</v>
      </c>
      <c r="K2" s="6">
        <v>0</v>
      </c>
      <c r="L2" s="6">
        <v>0</v>
      </c>
      <c r="Q2" s="86" t="s">
        <v>17</v>
      </c>
      <c r="R2" s="86"/>
      <c r="S2" s="86"/>
      <c r="U2" t="s">
        <v>18</v>
      </c>
      <c r="X2" s="86" t="s">
        <v>19</v>
      </c>
      <c r="Y2" s="86"/>
      <c r="Z2" s="86"/>
      <c r="AB2" t="s">
        <v>18</v>
      </c>
    </row>
    <row r="3" spans="1:30" ht="17.25" x14ac:dyDescent="0.3">
      <c r="A3" s="2" t="s">
        <v>20</v>
      </c>
      <c r="B3" s="3" t="s">
        <v>21</v>
      </c>
      <c r="C3" s="7"/>
      <c r="D3" s="5" t="s">
        <v>16</v>
      </c>
      <c r="E3" s="6">
        <v>8.1095000000000006</v>
      </c>
      <c r="F3" s="48">
        <f t="shared" ref="F3" si="0">G3-H3</f>
        <v>35.093499999999999</v>
      </c>
      <c r="G3" s="48">
        <v>35.194600000000001</v>
      </c>
      <c r="H3" s="48">
        <v>0.10110000000000241</v>
      </c>
      <c r="I3" s="46">
        <v>20.0441</v>
      </c>
      <c r="J3" s="6">
        <v>1</v>
      </c>
      <c r="K3" s="6">
        <f>(H3/I3*1000000)*J3</f>
        <v>5043.8782484622607</v>
      </c>
      <c r="L3" s="6">
        <f>K3*0.02</f>
        <v>100.87756496924521</v>
      </c>
      <c r="Q3">
        <v>1000</v>
      </c>
      <c r="R3" t="s">
        <v>22</v>
      </c>
      <c r="U3">
        <v>10</v>
      </c>
      <c r="V3" t="s">
        <v>22</v>
      </c>
      <c r="X3">
        <v>1002</v>
      </c>
      <c r="Y3" t="s">
        <v>22</v>
      </c>
      <c r="AB3">
        <v>0.1</v>
      </c>
      <c r="AC3" t="s">
        <v>22</v>
      </c>
    </row>
    <row r="4" spans="1:30" ht="17.25" x14ac:dyDescent="0.3">
      <c r="A4" s="2"/>
      <c r="B4" s="3"/>
      <c r="C4" s="5"/>
      <c r="D4" s="5"/>
      <c r="E4" s="5"/>
      <c r="F4" s="6"/>
      <c r="G4" s="6"/>
      <c r="H4" s="6"/>
      <c r="I4" s="6"/>
      <c r="J4" s="6"/>
      <c r="K4" s="6"/>
      <c r="L4" s="6"/>
      <c r="M4" s="10"/>
    </row>
    <row r="5" spans="1:30" ht="21" x14ac:dyDescent="0.35">
      <c r="A5" s="14" t="s">
        <v>23</v>
      </c>
      <c r="E5" s="15" t="s">
        <v>24</v>
      </c>
      <c r="M5" s="16"/>
      <c r="N5" s="6"/>
      <c r="R5" s="8">
        <v>1000</v>
      </c>
      <c r="S5" s="8"/>
    </row>
    <row r="6" spans="1:30" x14ac:dyDescent="0.25">
      <c r="A6" s="18" t="s">
        <v>7</v>
      </c>
      <c r="B6" s="24">
        <v>1</v>
      </c>
      <c r="C6" s="24">
        <v>1</v>
      </c>
      <c r="D6" s="24">
        <v>1</v>
      </c>
      <c r="E6" s="25">
        <v>1</v>
      </c>
      <c r="F6" s="26">
        <v>1</v>
      </c>
      <c r="H6" s="19" t="s">
        <v>25</v>
      </c>
      <c r="I6" s="20" t="s">
        <v>26</v>
      </c>
      <c r="J6" s="20" t="s">
        <v>27</v>
      </c>
      <c r="K6" s="21" t="s">
        <v>28</v>
      </c>
      <c r="M6" s="16"/>
      <c r="N6" s="11"/>
      <c r="Q6" t="s">
        <v>7</v>
      </c>
      <c r="R6">
        <v>1</v>
      </c>
      <c r="S6">
        <v>1.3</v>
      </c>
      <c r="X6" t="s">
        <v>7</v>
      </c>
      <c r="Y6">
        <v>0.1</v>
      </c>
      <c r="Z6" s="9">
        <v>0.1</v>
      </c>
      <c r="AA6">
        <v>1</v>
      </c>
    </row>
    <row r="7" spans="1:30" x14ac:dyDescent="0.25">
      <c r="A7" s="18" t="s">
        <v>29</v>
      </c>
      <c r="B7" s="30">
        <v>10</v>
      </c>
      <c r="C7" s="30">
        <v>1</v>
      </c>
      <c r="D7" s="30">
        <v>1</v>
      </c>
      <c r="E7" s="31">
        <v>10</v>
      </c>
      <c r="F7" s="32">
        <v>1</v>
      </c>
      <c r="H7" s="19">
        <v>10</v>
      </c>
      <c r="I7" s="27">
        <f>PRODUCT(B8:D8)</f>
        <v>10</v>
      </c>
      <c r="J7" s="28">
        <f>K7*1/100</f>
        <v>0</v>
      </c>
      <c r="K7" s="29">
        <f>K2/I7</f>
        <v>0</v>
      </c>
      <c r="L7" s="47"/>
      <c r="N7" s="16"/>
      <c r="Q7" t="s">
        <v>29</v>
      </c>
      <c r="R7" s="12">
        <v>10</v>
      </c>
      <c r="S7" s="12">
        <v>12</v>
      </c>
      <c r="U7" t="s">
        <v>30</v>
      </c>
      <c r="X7" t="s">
        <v>29</v>
      </c>
      <c r="Y7" s="12">
        <v>10</v>
      </c>
      <c r="Z7" s="13">
        <v>10</v>
      </c>
      <c r="AA7" s="12">
        <v>1</v>
      </c>
      <c r="AC7" t="s">
        <v>31</v>
      </c>
      <c r="AD7" t="s">
        <v>26</v>
      </c>
    </row>
    <row r="8" spans="1:30" x14ac:dyDescent="0.25">
      <c r="A8" s="18" t="s">
        <v>32</v>
      </c>
      <c r="B8">
        <v>10</v>
      </c>
      <c r="C8">
        <v>1</v>
      </c>
      <c r="D8">
        <v>1</v>
      </c>
      <c r="E8" s="36">
        <v>10</v>
      </c>
      <c r="F8" s="37">
        <v>1</v>
      </c>
      <c r="H8" s="33"/>
      <c r="I8" s="34"/>
      <c r="J8" s="34"/>
      <c r="K8" s="35"/>
      <c r="L8" s="47"/>
      <c r="N8" s="16"/>
      <c r="Q8" t="s">
        <v>32</v>
      </c>
      <c r="R8">
        <f>R7/R6</f>
        <v>10</v>
      </c>
      <c r="S8">
        <f>S7/S6</f>
        <v>9.2307692307692299</v>
      </c>
      <c r="U8">
        <f>PRODUCT(R8:S8)</f>
        <v>92.307692307692292</v>
      </c>
      <c r="X8" t="s">
        <v>32</v>
      </c>
      <c r="Y8">
        <f>Y7/Y6</f>
        <v>100</v>
      </c>
      <c r="Z8" s="17">
        <f t="shared" ref="Z8:AA8" si="1">Z7/Z6</f>
        <v>100</v>
      </c>
      <c r="AA8">
        <f t="shared" si="1"/>
        <v>1</v>
      </c>
      <c r="AC8">
        <f>PRODUCT(Y8)</f>
        <v>100</v>
      </c>
      <c r="AD8">
        <f>PRODUCT(Z8:AA8)</f>
        <v>100</v>
      </c>
    </row>
    <row r="9" spans="1:30" x14ac:dyDescent="0.25">
      <c r="H9" s="38"/>
      <c r="I9" s="39"/>
      <c r="J9" s="39"/>
      <c r="K9" s="40"/>
      <c r="L9" s="47"/>
      <c r="Q9" t="s">
        <v>33</v>
      </c>
      <c r="R9" s="22">
        <f>Q3/U8</f>
        <v>10.833333333333336</v>
      </c>
      <c r="S9" s="22" t="s">
        <v>22</v>
      </c>
      <c r="X9" s="12" t="s">
        <v>34</v>
      </c>
      <c r="Y9" s="23">
        <f>X3/AC8</f>
        <v>10.02</v>
      </c>
      <c r="Z9" s="23" t="s">
        <v>22</v>
      </c>
    </row>
    <row r="10" spans="1:30" x14ac:dyDescent="0.25">
      <c r="X10" t="s">
        <v>35</v>
      </c>
      <c r="Y10" s="22">
        <f>Y9/AD8</f>
        <v>0.1002</v>
      </c>
      <c r="Z10" s="22" t="s">
        <v>22</v>
      </c>
    </row>
    <row r="11" spans="1:30" ht="21" x14ac:dyDescent="0.35">
      <c r="A11" s="14" t="s">
        <v>21</v>
      </c>
      <c r="C11" s="44"/>
      <c r="D11" s="44"/>
      <c r="E11" s="15" t="s">
        <v>24</v>
      </c>
      <c r="G11" s="36"/>
    </row>
    <row r="12" spans="1:30" x14ac:dyDescent="0.25">
      <c r="A12" s="18" t="s">
        <v>7</v>
      </c>
      <c r="B12" s="24">
        <v>1.1083000000000001</v>
      </c>
      <c r="C12" s="24">
        <v>1.9219999999999999</v>
      </c>
      <c r="D12" s="24">
        <v>1</v>
      </c>
      <c r="E12" s="25">
        <v>1</v>
      </c>
      <c r="F12" s="26">
        <v>1</v>
      </c>
      <c r="H12" s="19" t="s">
        <v>25</v>
      </c>
      <c r="I12" s="20" t="s">
        <v>26</v>
      </c>
      <c r="J12" s="20" t="s">
        <v>27</v>
      </c>
      <c r="K12" s="21" t="s">
        <v>28</v>
      </c>
      <c r="Q12" s="41" t="s">
        <v>36</v>
      </c>
      <c r="R12" s="41" t="s">
        <v>37</v>
      </c>
      <c r="S12" s="41" t="s">
        <v>38</v>
      </c>
      <c r="T12" s="41" t="s">
        <v>39</v>
      </c>
      <c r="U12" s="41" t="s">
        <v>40</v>
      </c>
    </row>
    <row r="13" spans="1:30" ht="18.75" x14ac:dyDescent="0.3">
      <c r="A13" s="18" t="s">
        <v>29</v>
      </c>
      <c r="B13" s="30">
        <v>3.0583</v>
      </c>
      <c r="C13" s="30">
        <v>7.0570000000000004</v>
      </c>
      <c r="D13" s="30">
        <v>1</v>
      </c>
      <c r="E13" s="31">
        <v>10</v>
      </c>
      <c r="F13" s="32">
        <v>1</v>
      </c>
      <c r="H13" s="19">
        <v>10</v>
      </c>
      <c r="I13" s="27">
        <f>PRODUCT(B14:D14)</f>
        <v>10.131867125388107</v>
      </c>
      <c r="J13" s="50">
        <f>K13*2/100</f>
        <v>9.9564634751742318</v>
      </c>
      <c r="K13" s="51">
        <f>K3/I13</f>
        <v>497.82317375871156</v>
      </c>
      <c r="Q13" s="42" t="s">
        <v>41</v>
      </c>
      <c r="R13">
        <v>1.0147999999999999</v>
      </c>
      <c r="S13">
        <v>0</v>
      </c>
      <c r="T13">
        <v>9.0305</v>
      </c>
      <c r="U13">
        <f t="shared" ref="U13:U22" si="2">SUM(R13:T13)</f>
        <v>10.045299999999999</v>
      </c>
    </row>
    <row r="14" spans="1:30" ht="18.75" x14ac:dyDescent="0.3">
      <c r="A14" s="18" t="s">
        <v>32</v>
      </c>
      <c r="B14">
        <f>B13/B12</f>
        <v>2.7594514120725435</v>
      </c>
      <c r="C14">
        <f>C13/C12</f>
        <v>3.6716961498439131</v>
      </c>
      <c r="D14">
        <f>D13/D12</f>
        <v>1</v>
      </c>
      <c r="E14" s="36">
        <f>E13/E12</f>
        <v>10</v>
      </c>
      <c r="F14" s="37">
        <f>F13/F12</f>
        <v>1</v>
      </c>
      <c r="H14" s="33"/>
      <c r="I14" s="34"/>
      <c r="J14" s="34"/>
      <c r="K14" s="35"/>
      <c r="Q14" s="42" t="s">
        <v>42</v>
      </c>
      <c r="R14">
        <v>1.0127999999999999</v>
      </c>
      <c r="S14">
        <v>0.54090000000000005</v>
      </c>
      <c r="T14">
        <v>8.5208999999999993</v>
      </c>
      <c r="U14">
        <f t="shared" si="2"/>
        <v>10.0746</v>
      </c>
    </row>
    <row r="15" spans="1:30" ht="18.75" x14ac:dyDescent="0.3">
      <c r="F15" s="36"/>
      <c r="H15" s="38"/>
      <c r="I15" s="39"/>
      <c r="J15" s="39"/>
      <c r="K15" s="40"/>
      <c r="L15" s="47"/>
      <c r="Q15" s="42" t="s">
        <v>43</v>
      </c>
      <c r="R15">
        <v>1.0111000000000001</v>
      </c>
      <c r="S15">
        <v>1.0874999999999999</v>
      </c>
      <c r="T15">
        <v>8.0350999999999999</v>
      </c>
      <c r="U15">
        <f t="shared" si="2"/>
        <v>10.133700000000001</v>
      </c>
    </row>
    <row r="16" spans="1:30" ht="18.75" x14ac:dyDescent="0.3">
      <c r="Q16" s="42" t="s">
        <v>44</v>
      </c>
      <c r="R16">
        <v>1.0105999999999999</v>
      </c>
      <c r="S16">
        <v>1.5255000000000001</v>
      </c>
      <c r="T16">
        <v>7.5103</v>
      </c>
      <c r="U16">
        <f t="shared" si="2"/>
        <v>10.0464</v>
      </c>
    </row>
    <row r="17" spans="12:21" ht="18.75" x14ac:dyDescent="0.3">
      <c r="Q17" s="43" t="s">
        <v>45</v>
      </c>
      <c r="R17" s="12">
        <v>1.0011000000000001</v>
      </c>
      <c r="S17" s="12">
        <v>2.0381</v>
      </c>
      <c r="T17" s="12">
        <v>7.0076999999999998</v>
      </c>
      <c r="U17" s="12">
        <f t="shared" si="2"/>
        <v>10.046900000000001</v>
      </c>
    </row>
    <row r="18" spans="12:21" ht="18.75" x14ac:dyDescent="0.3">
      <c r="Q18" s="42" t="s">
        <v>46</v>
      </c>
      <c r="R18">
        <v>1.0241</v>
      </c>
      <c r="S18">
        <v>0</v>
      </c>
      <c r="T18">
        <v>9.0396000000000001</v>
      </c>
      <c r="U18">
        <f t="shared" si="2"/>
        <v>10.063700000000001</v>
      </c>
    </row>
    <row r="19" spans="12:21" ht="18.75" x14ac:dyDescent="0.3">
      <c r="L19" s="47"/>
      <c r="Q19" s="42" t="s">
        <v>47</v>
      </c>
      <c r="R19">
        <v>1.0222</v>
      </c>
      <c r="S19">
        <v>0.54500000000000004</v>
      </c>
      <c r="T19">
        <v>8.577</v>
      </c>
      <c r="U19">
        <f t="shared" si="2"/>
        <v>10.1442</v>
      </c>
    </row>
    <row r="20" spans="12:21" ht="18.75" x14ac:dyDescent="0.3">
      <c r="Q20" s="42" t="s">
        <v>48</v>
      </c>
      <c r="R20">
        <v>1.0182</v>
      </c>
      <c r="S20">
        <v>1.1019000000000001</v>
      </c>
      <c r="T20">
        <v>8.0266999999999999</v>
      </c>
      <c r="U20">
        <f t="shared" si="2"/>
        <v>10.146799999999999</v>
      </c>
    </row>
    <row r="21" spans="12:21" ht="18.75" x14ac:dyDescent="0.3">
      <c r="Q21" s="42" t="s">
        <v>49</v>
      </c>
      <c r="R21">
        <v>1.0224</v>
      </c>
      <c r="S21">
        <v>1.5402</v>
      </c>
      <c r="T21">
        <v>7.5237999999999996</v>
      </c>
      <c r="U21">
        <f t="shared" si="2"/>
        <v>10.086399999999999</v>
      </c>
    </row>
    <row r="22" spans="12:21" ht="18.75" x14ac:dyDescent="0.3">
      <c r="Q22" s="45" t="s">
        <v>50</v>
      </c>
      <c r="R22" s="12">
        <v>1.0221</v>
      </c>
      <c r="S22" s="12">
        <v>2.0425</v>
      </c>
      <c r="T22" s="12">
        <v>7.0201000000000002</v>
      </c>
      <c r="U22" s="12">
        <f t="shared" si="2"/>
        <v>10.0847</v>
      </c>
    </row>
  </sheetData>
  <mergeCells count="4">
    <mergeCell ref="Q1:U1"/>
    <mergeCell ref="X1:AB1"/>
    <mergeCell ref="Q2:S2"/>
    <mergeCell ref="X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D2" sqref="D2:D6"/>
    </sheetView>
  </sheetViews>
  <sheetFormatPr defaultRowHeight="15" x14ac:dyDescent="0.25"/>
  <cols>
    <col min="1" max="1" width="11.42578125" bestFit="1" customWidth="1"/>
    <col min="2" max="2" width="12" bestFit="1" customWidth="1"/>
    <col min="3" max="5" width="11.425781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ht="18.75" x14ac:dyDescent="0.3">
      <c r="A2" t="s">
        <v>7</v>
      </c>
      <c r="B2" s="42" t="s">
        <v>49</v>
      </c>
      <c r="D2">
        <v>4104</v>
      </c>
      <c r="E2">
        <f ca="1">RAND()</f>
        <v>0.45821551876778233</v>
      </c>
    </row>
    <row r="3" spans="1:5" ht="18.75" x14ac:dyDescent="0.3">
      <c r="A3" t="s">
        <v>7</v>
      </c>
      <c r="B3" s="42" t="s">
        <v>46</v>
      </c>
      <c r="D3">
        <v>4101</v>
      </c>
      <c r="E3">
        <f ca="1">RAND()</f>
        <v>0.16563396440847811</v>
      </c>
    </row>
    <row r="4" spans="1:5" ht="18.75" x14ac:dyDescent="0.3">
      <c r="A4" t="s">
        <v>7</v>
      </c>
      <c r="B4" s="42" t="s">
        <v>47</v>
      </c>
      <c r="D4">
        <v>4102</v>
      </c>
      <c r="E4">
        <f ca="1">RAND()</f>
        <v>0.3492758061991702</v>
      </c>
    </row>
    <row r="5" spans="1:5" ht="18.75" x14ac:dyDescent="0.3">
      <c r="A5" t="s">
        <v>7</v>
      </c>
      <c r="B5" s="42" t="s">
        <v>48</v>
      </c>
      <c r="D5">
        <v>4103</v>
      </c>
      <c r="E5">
        <f ca="1">RAND()</f>
        <v>6.248370419700866E-2</v>
      </c>
    </row>
    <row r="6" spans="1:5" ht="18.75" x14ac:dyDescent="0.3">
      <c r="A6" t="s">
        <v>7</v>
      </c>
      <c r="B6" s="45" t="s">
        <v>50</v>
      </c>
      <c r="D6">
        <v>4105</v>
      </c>
      <c r="E6">
        <f ca="1">RAND()</f>
        <v>0.12967947264017377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C8A-9FE6-4B14-93D7-E9A493692AD5}">
  <dimension ref="A1:U29"/>
  <sheetViews>
    <sheetView workbookViewId="0">
      <selection activeCell="G1" sqref="G1:M12"/>
    </sheetView>
  </sheetViews>
  <sheetFormatPr defaultRowHeight="15" x14ac:dyDescent="0.25"/>
  <sheetData>
    <row r="1" spans="1:21" x14ac:dyDescent="0.25">
      <c r="A1" s="49" t="s">
        <v>7</v>
      </c>
      <c r="B1" s="49"/>
      <c r="C1" s="49"/>
      <c r="D1" s="49"/>
      <c r="E1" s="49"/>
      <c r="F1" s="49"/>
      <c r="G1" s="49"/>
      <c r="H1" s="49" t="s">
        <v>56</v>
      </c>
      <c r="I1" s="49"/>
      <c r="J1" s="49" t="s">
        <v>57</v>
      </c>
      <c r="K1" s="49"/>
      <c r="L1" s="49" t="s">
        <v>58</v>
      </c>
      <c r="M1" s="49"/>
      <c r="N1" s="49"/>
      <c r="O1" s="49"/>
      <c r="P1" s="49"/>
      <c r="Q1" s="49"/>
      <c r="R1" s="49"/>
      <c r="S1" s="49"/>
      <c r="T1" s="49"/>
      <c r="U1" s="49"/>
    </row>
    <row r="2" spans="1:21" x14ac:dyDescent="0.25">
      <c r="A2" s="49"/>
      <c r="B2" s="49" t="s">
        <v>59</v>
      </c>
      <c r="C2" s="49" t="s">
        <v>60</v>
      </c>
      <c r="D2" s="49" t="s">
        <v>61</v>
      </c>
      <c r="E2" s="49" t="s">
        <v>62</v>
      </c>
      <c r="F2" s="49" t="s">
        <v>63</v>
      </c>
      <c r="G2" s="49" t="s">
        <v>1</v>
      </c>
      <c r="H2" s="49" t="s">
        <v>64</v>
      </c>
      <c r="I2" s="49" t="s">
        <v>65</v>
      </c>
      <c r="J2" s="49" t="s">
        <v>64</v>
      </c>
      <c r="K2" s="49" t="s">
        <v>65</v>
      </c>
      <c r="L2" s="49" t="s">
        <v>64</v>
      </c>
      <c r="M2" s="49" t="s">
        <v>65</v>
      </c>
      <c r="N2" s="49"/>
      <c r="O2" s="49"/>
      <c r="P2" s="49"/>
      <c r="Q2" s="49"/>
      <c r="R2" s="49"/>
      <c r="S2" s="49"/>
      <c r="T2" s="49"/>
      <c r="U2" s="49"/>
    </row>
    <row r="3" spans="1:21" x14ac:dyDescent="0.25">
      <c r="A3" s="49"/>
      <c r="B3" s="49" t="b">
        <v>0</v>
      </c>
      <c r="C3" s="49" t="s">
        <v>66</v>
      </c>
      <c r="D3" s="49" t="s">
        <v>67</v>
      </c>
      <c r="E3" s="49" t="s">
        <v>7</v>
      </c>
      <c r="F3" s="49"/>
      <c r="G3" s="49" t="s">
        <v>68</v>
      </c>
      <c r="H3" s="49">
        <v>33.369999999999997</v>
      </c>
      <c r="I3" s="49">
        <v>45.8</v>
      </c>
      <c r="J3" s="49">
        <v>26.69</v>
      </c>
      <c r="K3" s="49">
        <v>43.3</v>
      </c>
      <c r="L3" s="49">
        <v>106.79</v>
      </c>
      <c r="M3" s="49">
        <v>39</v>
      </c>
      <c r="N3" s="49"/>
      <c r="O3" s="49"/>
      <c r="P3" s="49"/>
      <c r="Q3" s="49"/>
      <c r="R3" s="49"/>
      <c r="S3" s="49"/>
      <c r="T3" s="49"/>
      <c r="U3" s="49"/>
    </row>
    <row r="4" spans="1:21" x14ac:dyDescent="0.25">
      <c r="A4" s="49"/>
      <c r="B4" s="49" t="b">
        <v>0</v>
      </c>
      <c r="C4" s="49" t="s">
        <v>69</v>
      </c>
      <c r="D4" s="49" t="s">
        <v>67</v>
      </c>
      <c r="E4" s="49" t="s">
        <v>7</v>
      </c>
      <c r="F4" s="49"/>
      <c r="G4" s="49" t="s">
        <v>49</v>
      </c>
      <c r="H4" s="49">
        <v>5897027</v>
      </c>
      <c r="I4" s="49">
        <v>0.9</v>
      </c>
      <c r="J4" s="49">
        <v>4488054</v>
      </c>
      <c r="K4" s="49">
        <v>1.1000000000000001</v>
      </c>
      <c r="L4" s="49">
        <v>11750363</v>
      </c>
      <c r="M4" s="49">
        <v>0.8</v>
      </c>
      <c r="N4" s="49"/>
      <c r="O4" s="49"/>
      <c r="P4" s="49"/>
      <c r="Q4" s="49"/>
      <c r="R4" s="49"/>
      <c r="S4" s="49"/>
      <c r="T4" s="49"/>
      <c r="U4" s="49"/>
    </row>
    <row r="5" spans="1:21" x14ac:dyDescent="0.25">
      <c r="A5" s="49"/>
      <c r="B5" s="49" t="b">
        <v>0</v>
      </c>
      <c r="C5" s="49" t="s">
        <v>70</v>
      </c>
      <c r="D5" s="49" t="s">
        <v>67</v>
      </c>
      <c r="E5" s="49" t="s">
        <v>7</v>
      </c>
      <c r="F5" s="49"/>
      <c r="G5" s="49" t="s">
        <v>46</v>
      </c>
      <c r="H5" s="49">
        <v>873819.8</v>
      </c>
      <c r="I5" s="49">
        <v>0.3</v>
      </c>
      <c r="J5" s="49">
        <v>673528.4</v>
      </c>
      <c r="K5" s="49">
        <v>0.8</v>
      </c>
      <c r="L5" s="49">
        <v>1749272</v>
      </c>
      <c r="M5" s="49">
        <v>0.4</v>
      </c>
      <c r="N5" s="49"/>
      <c r="O5" s="49"/>
      <c r="P5" s="49"/>
      <c r="Q5" s="49"/>
      <c r="R5" s="49"/>
      <c r="S5" s="49"/>
      <c r="T5" s="49"/>
      <c r="U5" s="49"/>
    </row>
    <row r="6" spans="1:21" x14ac:dyDescent="0.25">
      <c r="A6" s="49"/>
      <c r="B6" s="49" t="b">
        <v>0</v>
      </c>
      <c r="C6" s="49" t="s">
        <v>71</v>
      </c>
      <c r="D6" s="49" t="s">
        <v>67</v>
      </c>
      <c r="E6" s="49" t="s">
        <v>7</v>
      </c>
      <c r="F6" s="49"/>
      <c r="G6" s="49" t="s">
        <v>47</v>
      </c>
      <c r="H6" s="49">
        <v>3049277</v>
      </c>
      <c r="I6" s="49">
        <v>0.3</v>
      </c>
      <c r="J6" s="49">
        <v>2327732</v>
      </c>
      <c r="K6" s="49">
        <v>0.9</v>
      </c>
      <c r="L6" s="49">
        <v>6080140</v>
      </c>
      <c r="M6" s="49">
        <v>0.4</v>
      </c>
      <c r="N6" s="49"/>
      <c r="O6" s="49"/>
      <c r="P6" s="49"/>
      <c r="Q6" s="49"/>
      <c r="R6" s="49"/>
      <c r="S6" s="49"/>
      <c r="T6" s="49"/>
      <c r="U6" s="49"/>
    </row>
    <row r="7" spans="1:21" x14ac:dyDescent="0.25">
      <c r="A7" s="49"/>
      <c r="B7" s="49" t="b">
        <v>0</v>
      </c>
      <c r="C7" s="49" t="s">
        <v>72</v>
      </c>
      <c r="D7" s="49" t="s">
        <v>67</v>
      </c>
      <c r="E7" s="49" t="s">
        <v>7</v>
      </c>
      <c r="F7" s="49"/>
      <c r="G7" s="49" t="s">
        <v>48</v>
      </c>
      <c r="H7" s="49">
        <v>4665325</v>
      </c>
      <c r="I7" s="49">
        <v>0.6</v>
      </c>
      <c r="J7" s="49">
        <v>3574831</v>
      </c>
      <c r="K7" s="49">
        <v>0.2</v>
      </c>
      <c r="L7" s="49">
        <v>9336501</v>
      </c>
      <c r="M7" s="49">
        <v>0.2</v>
      </c>
      <c r="N7" s="49"/>
      <c r="O7" s="49"/>
      <c r="P7" s="49"/>
      <c r="Q7" s="49"/>
      <c r="R7" s="49"/>
      <c r="S7" s="49"/>
      <c r="T7" s="49"/>
      <c r="U7" s="49"/>
    </row>
    <row r="8" spans="1:21" x14ac:dyDescent="0.25">
      <c r="A8" s="49"/>
      <c r="B8" s="49" t="b">
        <v>0</v>
      </c>
      <c r="C8" s="49" t="s">
        <v>73</v>
      </c>
      <c r="D8" s="49" t="s">
        <v>67</v>
      </c>
      <c r="E8" s="49" t="s">
        <v>7</v>
      </c>
      <c r="F8" s="49"/>
      <c r="G8" s="49" t="s">
        <v>50</v>
      </c>
      <c r="H8" s="49">
        <v>7468482</v>
      </c>
      <c r="I8" s="49">
        <v>0.5</v>
      </c>
      <c r="J8" s="49">
        <v>5713291</v>
      </c>
      <c r="K8" s="49">
        <v>0.4</v>
      </c>
      <c r="L8" s="49">
        <v>14925605</v>
      </c>
      <c r="M8" s="49">
        <v>0.5</v>
      </c>
      <c r="N8" s="49"/>
      <c r="O8" s="49"/>
      <c r="P8" s="49"/>
      <c r="Q8" s="49"/>
      <c r="R8" s="49"/>
      <c r="S8" s="49"/>
      <c r="T8" s="49"/>
      <c r="U8" s="49"/>
    </row>
    <row r="9" spans="1:21" x14ac:dyDescent="0.25">
      <c r="A9" s="49"/>
      <c r="B9" s="49" t="b">
        <v>0</v>
      </c>
      <c r="C9" s="49" t="s">
        <v>74</v>
      </c>
      <c r="D9" s="49" t="s">
        <v>67</v>
      </c>
      <c r="E9" s="49" t="s">
        <v>7</v>
      </c>
      <c r="F9" s="49"/>
      <c r="G9" s="49" t="s">
        <v>68</v>
      </c>
      <c r="H9" s="49">
        <v>36.700000000000003</v>
      </c>
      <c r="I9" s="49">
        <v>15.7</v>
      </c>
      <c r="J9" s="49">
        <v>53.39</v>
      </c>
      <c r="K9" s="49">
        <v>28.6</v>
      </c>
      <c r="L9" s="49">
        <v>100.11</v>
      </c>
      <c r="M9" s="49">
        <v>20</v>
      </c>
      <c r="N9" s="49"/>
      <c r="O9" s="49"/>
      <c r="P9" s="49"/>
      <c r="Q9" s="49"/>
      <c r="R9" s="49"/>
      <c r="S9" s="49"/>
      <c r="T9" s="49"/>
      <c r="U9" s="49"/>
    </row>
    <row r="10" spans="1:21" x14ac:dyDescent="0.25">
      <c r="A10" s="49"/>
      <c r="B10" s="49" t="b">
        <v>0</v>
      </c>
      <c r="C10" s="49" t="s">
        <v>75</v>
      </c>
      <c r="D10" s="49" t="s">
        <v>67</v>
      </c>
      <c r="E10" s="49" t="s">
        <v>7</v>
      </c>
      <c r="F10" s="49"/>
      <c r="G10" s="49" t="s">
        <v>68</v>
      </c>
      <c r="H10" s="49">
        <v>43.38</v>
      </c>
      <c r="I10" s="49">
        <v>26.7</v>
      </c>
      <c r="J10" s="49">
        <v>36.71</v>
      </c>
      <c r="K10" s="49">
        <v>41.7</v>
      </c>
      <c r="L10" s="49">
        <v>120.13</v>
      </c>
      <c r="M10" s="49">
        <v>8.3000000000000007</v>
      </c>
      <c r="N10" s="49"/>
      <c r="O10" s="49"/>
      <c r="P10" s="49"/>
      <c r="Q10" s="49"/>
      <c r="R10" s="49"/>
      <c r="S10" s="49"/>
      <c r="T10" s="49"/>
      <c r="U10" s="49"/>
    </row>
    <row r="11" spans="1:2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</row>
    <row r="12" spans="1:2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</row>
    <row r="13" spans="1:2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</row>
    <row r="14" spans="1:2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</row>
    <row r="15" spans="1:2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</row>
    <row r="16" spans="1:2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 spans="1:2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</row>
    <row r="18" spans="1:2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</row>
    <row r="19" spans="1:2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</row>
    <row r="20" spans="1:2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1:2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</row>
    <row r="22" spans="1:2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</row>
    <row r="23" spans="1:2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</row>
    <row r="24" spans="1:2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</row>
    <row r="25" spans="1:2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</row>
    <row r="26" spans="1:2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</row>
    <row r="27" spans="1:2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</row>
    <row r="28" spans="1:2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</row>
    <row r="29" spans="1:2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AC2-0826-4F70-B123-7E1962D602C7}">
  <dimension ref="A1:T37"/>
  <sheetViews>
    <sheetView tabSelected="1" topLeftCell="A10" workbookViewId="0">
      <selection activeCell="D43" sqref="D43"/>
    </sheetView>
  </sheetViews>
  <sheetFormatPr defaultRowHeight="15" x14ac:dyDescent="0.25"/>
  <cols>
    <col min="1" max="1" width="12.140625" bestFit="1" customWidth="1"/>
    <col min="2" max="2" width="10.28515625" bestFit="1" customWidth="1"/>
    <col min="3" max="3" width="12.28515625" bestFit="1" customWidth="1"/>
    <col min="4" max="4" width="23.140625" bestFit="1" customWidth="1"/>
    <col min="5" max="5" width="16.7109375" bestFit="1" customWidth="1"/>
    <col min="6" max="6" width="11.5703125" bestFit="1" customWidth="1"/>
    <col min="7" max="7" width="13" bestFit="1" customWidth="1"/>
    <col min="8" max="8" width="16" bestFit="1" customWidth="1"/>
    <col min="9" max="9" width="14.5703125" bestFit="1" customWidth="1"/>
    <col min="10" max="10" width="16" bestFit="1" customWidth="1"/>
    <col min="11" max="11" width="13.7109375" bestFit="1" customWidth="1"/>
    <col min="12" max="12" width="12.5703125" bestFit="1" customWidth="1"/>
    <col min="13" max="13" width="13.7109375" bestFit="1" customWidth="1"/>
    <col min="14" max="14" width="13" bestFit="1" customWidth="1"/>
    <col min="15" max="15" width="9.85546875" bestFit="1" customWidth="1"/>
    <col min="16" max="16" width="13" bestFit="1" customWidth="1"/>
  </cols>
  <sheetData>
    <row r="1" spans="1:20" x14ac:dyDescent="0.25">
      <c r="A1" s="49"/>
      <c r="B1" s="52"/>
      <c r="C1" s="52"/>
      <c r="D1" s="49" t="s">
        <v>56</v>
      </c>
      <c r="E1" s="49" t="s">
        <v>57</v>
      </c>
      <c r="F1" s="49" t="s">
        <v>58</v>
      </c>
      <c r="H1" s="52"/>
      <c r="I1" s="53" t="s">
        <v>56</v>
      </c>
      <c r="J1" s="52"/>
      <c r="K1" s="53" t="s">
        <v>57</v>
      </c>
      <c r="L1" s="52"/>
      <c r="M1" s="54" t="s">
        <v>58</v>
      </c>
      <c r="N1" s="52"/>
      <c r="O1" s="52"/>
      <c r="P1" s="52"/>
      <c r="Q1" s="52"/>
      <c r="R1" s="52"/>
      <c r="S1" s="52"/>
      <c r="T1" s="52"/>
    </row>
    <row r="2" spans="1:20" x14ac:dyDescent="0.25">
      <c r="A2" s="55" t="s">
        <v>76</v>
      </c>
      <c r="B2" s="56" t="s">
        <v>7</v>
      </c>
      <c r="C2" s="56" t="s">
        <v>77</v>
      </c>
      <c r="D2" s="55" t="s">
        <v>64</v>
      </c>
      <c r="E2" s="55" t="s">
        <v>78</v>
      </c>
      <c r="F2" s="55" t="s">
        <v>79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7" t="s">
        <v>80</v>
      </c>
    </row>
    <row r="3" spans="1:20" x14ac:dyDescent="0.25">
      <c r="A3" s="58" t="s">
        <v>46</v>
      </c>
      <c r="B3" s="59">
        <v>1.0241</v>
      </c>
      <c r="C3" s="59">
        <v>0</v>
      </c>
      <c r="D3" s="58">
        <v>873819.8</v>
      </c>
      <c r="E3" s="58">
        <v>673528.4</v>
      </c>
      <c r="F3" s="58">
        <v>1749272</v>
      </c>
      <c r="H3" s="52" t="s">
        <v>81</v>
      </c>
      <c r="I3">
        <f>INTERCEPT(D3:D7,$C$3:$C$7)</f>
        <v>1082702.9101247205</v>
      </c>
      <c r="K3">
        <f>INTERCEPT(E3:E7,$C$3:$C$7)</f>
        <v>830476.87281033583</v>
      </c>
      <c r="M3">
        <f>INTERCEPT(F3:F7,$C$3:$C$7)</f>
        <v>2162352.0454428783</v>
      </c>
      <c r="N3" s="52"/>
      <c r="O3" s="52"/>
      <c r="P3" t="s">
        <v>82</v>
      </c>
      <c r="Q3">
        <f>AVERAGE(B3:B7)</f>
        <v>1.0218</v>
      </c>
      <c r="S3" t="s">
        <v>83</v>
      </c>
      <c r="T3">
        <f>Prep!R9</f>
        <v>10.833333333333336</v>
      </c>
    </row>
    <row r="4" spans="1:20" x14ac:dyDescent="0.25">
      <c r="A4" s="49" t="s">
        <v>47</v>
      </c>
      <c r="B4" s="52">
        <v>1.0222</v>
      </c>
      <c r="C4" s="52">
        <v>0.54500000000000004</v>
      </c>
      <c r="D4" s="49">
        <v>3049277</v>
      </c>
      <c r="E4" s="49">
        <v>2327732</v>
      </c>
      <c r="F4" s="49">
        <v>6080140</v>
      </c>
      <c r="H4" s="52" t="s">
        <v>84</v>
      </c>
      <c r="I4">
        <f>SLOPE(D3:D7,$C$3:$C$7)</f>
        <v>3162845.3895855132</v>
      </c>
      <c r="K4">
        <f>SLOPE(E3:E7,$C$3:$C$7)</f>
        <v>2414152.5233188621</v>
      </c>
      <c r="M4">
        <f>SLOPE(F3:F7,$C$3:$C$7)</f>
        <v>6315993.7228058754</v>
      </c>
      <c r="N4" s="52"/>
      <c r="O4" s="52"/>
      <c r="P4" s="52"/>
      <c r="Q4" s="52"/>
      <c r="R4" s="52"/>
      <c r="S4" s="52"/>
      <c r="T4" s="52"/>
    </row>
    <row r="5" spans="1:20" x14ac:dyDescent="0.25">
      <c r="A5" s="58" t="s">
        <v>48</v>
      </c>
      <c r="B5" s="59">
        <v>1.0182</v>
      </c>
      <c r="C5" s="59">
        <v>1.1019000000000001</v>
      </c>
      <c r="D5" s="58">
        <v>4665325</v>
      </c>
      <c r="E5" s="58">
        <v>3574831</v>
      </c>
      <c r="F5" s="58">
        <v>9336501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</row>
    <row r="6" spans="1:20" x14ac:dyDescent="0.25">
      <c r="A6" s="49" t="s">
        <v>49</v>
      </c>
      <c r="B6" s="52">
        <v>1.0224</v>
      </c>
      <c r="C6" s="52">
        <v>1.5402</v>
      </c>
      <c r="D6" s="49">
        <v>5897027</v>
      </c>
      <c r="E6" s="49">
        <v>4488054</v>
      </c>
      <c r="F6" s="49">
        <v>11750363</v>
      </c>
      <c r="H6" s="60" t="s">
        <v>85</v>
      </c>
      <c r="I6" s="60">
        <f>I3*$T$3/(I4*Q3)</f>
        <v>3.6293391150655383</v>
      </c>
      <c r="J6" s="60"/>
      <c r="K6" s="60">
        <f>K3*$T$3/(K4*$Q$3)</f>
        <v>3.6471955202021764</v>
      </c>
      <c r="L6" s="60"/>
      <c r="M6" s="60">
        <f>M3*$T$3/(M4*$Q$3)</f>
        <v>3.6297851507612133</v>
      </c>
      <c r="N6" s="60"/>
      <c r="O6" s="52"/>
      <c r="P6" s="52"/>
      <c r="Q6" s="52"/>
      <c r="R6" s="52"/>
      <c r="S6" s="52"/>
      <c r="T6" s="52"/>
    </row>
    <row r="7" spans="1:20" x14ac:dyDescent="0.25">
      <c r="A7" s="61" t="s">
        <v>50</v>
      </c>
      <c r="B7" s="62">
        <v>1.0221</v>
      </c>
      <c r="C7" s="62">
        <v>2.0425</v>
      </c>
      <c r="D7" s="63">
        <v>7468482</v>
      </c>
      <c r="E7" s="63">
        <v>5713291</v>
      </c>
      <c r="F7" s="64">
        <v>14925605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</row>
    <row r="8" spans="1:20" x14ac:dyDescent="0.25">
      <c r="H8" s="52"/>
      <c r="I8" s="52"/>
      <c r="J8" s="52"/>
      <c r="K8" s="49"/>
      <c r="L8" s="49"/>
      <c r="M8" s="49"/>
      <c r="N8" s="49"/>
      <c r="O8" s="52"/>
      <c r="P8" s="52"/>
      <c r="Q8" s="52"/>
      <c r="R8" s="52"/>
      <c r="S8" s="52"/>
      <c r="T8" s="52"/>
    </row>
    <row r="9" spans="1:20" x14ac:dyDescent="0.25">
      <c r="A9" t="s">
        <v>7</v>
      </c>
      <c r="B9" s="49" t="s">
        <v>56</v>
      </c>
      <c r="C9" s="49" t="s">
        <v>57</v>
      </c>
      <c r="D9" s="49" t="s">
        <v>58</v>
      </c>
      <c r="E9" s="52" t="s">
        <v>86</v>
      </c>
      <c r="F9" s="52">
        <v>147</v>
      </c>
      <c r="G9" s="52">
        <v>148</v>
      </c>
      <c r="H9" s="52">
        <v>152</v>
      </c>
      <c r="I9" s="52" t="s">
        <v>87</v>
      </c>
      <c r="J9" s="65" t="s">
        <v>88</v>
      </c>
      <c r="K9" s="65" t="s">
        <v>89</v>
      </c>
      <c r="L9" s="65" t="s">
        <v>90</v>
      </c>
      <c r="M9" s="49"/>
      <c r="N9" s="49"/>
    </row>
    <row r="10" spans="1:20" x14ac:dyDescent="0.25">
      <c r="A10" t="s">
        <v>91</v>
      </c>
      <c r="B10" s="52">
        <f>I6</f>
        <v>3.6293391150655383</v>
      </c>
      <c r="C10" s="66">
        <f>K6</f>
        <v>3.6471955202021764</v>
      </c>
      <c r="D10" s="66">
        <f>M6</f>
        <v>3.6297851507612133</v>
      </c>
      <c r="E10" s="67">
        <f>Prep!I13</f>
        <v>10.131867125388107</v>
      </c>
      <c r="F10">
        <f>B10*E10</f>
        <v>36.771981666817688</v>
      </c>
      <c r="G10">
        <f>C10*E10</f>
        <v>36.952900390999204</v>
      </c>
      <c r="H10">
        <f>D10*$E10</f>
        <v>36.776500841219452</v>
      </c>
      <c r="I10">
        <f>Prep!K3</f>
        <v>5043.8782484622607</v>
      </c>
      <c r="J10">
        <f>(F10/$I10)*100</f>
        <v>0.72904181773278232</v>
      </c>
      <c r="K10">
        <f>(G10/$I10)*100</f>
        <v>0.73262871486370873</v>
      </c>
      <c r="L10">
        <f>(H10/$I10)*100</f>
        <v>0.7291314149470518</v>
      </c>
      <c r="M10" s="49"/>
      <c r="N10" s="49"/>
    </row>
    <row r="11" spans="1:20" x14ac:dyDescent="0.25">
      <c r="M11" s="49"/>
      <c r="N11" s="49"/>
    </row>
    <row r="13" spans="1:20" x14ac:dyDescent="0.25">
      <c r="A13" s="17"/>
      <c r="B13" s="68"/>
      <c r="C13" s="68"/>
      <c r="D13" s="68"/>
      <c r="E13" s="87" t="s">
        <v>92</v>
      </c>
      <c r="F13" s="87"/>
      <c r="G13" s="87"/>
      <c r="H13" s="87" t="s">
        <v>93</v>
      </c>
      <c r="I13" s="87"/>
      <c r="J13" s="87"/>
      <c r="K13" s="87" t="s">
        <v>94</v>
      </c>
      <c r="L13" s="87"/>
      <c r="M13" s="87"/>
    </row>
    <row r="14" spans="1:20" x14ac:dyDescent="0.25">
      <c r="A14" s="13" t="s">
        <v>95</v>
      </c>
      <c r="B14" s="12" t="s">
        <v>96</v>
      </c>
      <c r="C14" s="12" t="s">
        <v>97</v>
      </c>
      <c r="D14" s="12" t="s">
        <v>98</v>
      </c>
      <c r="E14" s="69" t="s">
        <v>99</v>
      </c>
      <c r="F14" s="69" t="s">
        <v>100</v>
      </c>
      <c r="G14" s="69" t="s">
        <v>101</v>
      </c>
      <c r="H14" s="69" t="s">
        <v>99</v>
      </c>
      <c r="I14" s="69" t="s">
        <v>100</v>
      </c>
      <c r="J14" s="69" t="s">
        <v>101</v>
      </c>
      <c r="K14" s="69" t="s">
        <v>99</v>
      </c>
      <c r="L14" s="69" t="s">
        <v>100</v>
      </c>
      <c r="M14" s="70" t="s">
        <v>101</v>
      </c>
    </row>
    <row r="15" spans="1:20" x14ac:dyDescent="0.25">
      <c r="A15" s="9" t="s">
        <v>102</v>
      </c>
      <c r="D15">
        <v>-1000</v>
      </c>
      <c r="F15">
        <f>$F$22*D15+$F$21</f>
        <v>-297335244.97835505</v>
      </c>
      <c r="I15">
        <f>$I$22*D15+$I$21</f>
        <v>-226949295.59419301</v>
      </c>
      <c r="L15">
        <f>$L$22*D15+$L$21</f>
        <v>-593762167.11589932</v>
      </c>
      <c r="M15" s="71"/>
    </row>
    <row r="16" spans="1:20" x14ac:dyDescent="0.25">
      <c r="A16" s="72" t="s">
        <v>103</v>
      </c>
      <c r="B16" s="73">
        <f t="shared" ref="B16:C20" si="0">B3</f>
        <v>1.0241</v>
      </c>
      <c r="C16" s="73">
        <f t="shared" si="0"/>
        <v>0</v>
      </c>
      <c r="D16" s="73">
        <f>C16*$T$3/B16</f>
        <v>0</v>
      </c>
      <c r="E16" s="73">
        <f>D3</f>
        <v>873819.8</v>
      </c>
      <c r="F16" s="73">
        <f t="shared" ref="F16:F20" si="1">$F$22*D16+$F$21</f>
        <v>1080263.9297284456</v>
      </c>
      <c r="G16" s="73">
        <f>E16-F16</f>
        <v>-206444.12972844555</v>
      </c>
      <c r="H16" s="73">
        <f>E3</f>
        <v>673528.4</v>
      </c>
      <c r="I16" s="73">
        <f t="shared" ref="I16:I20" si="2">$I$22*D16+$I$21</f>
        <v>828595.21619682794</v>
      </c>
      <c r="J16" s="73">
        <f>H16-I16</f>
        <v>-155066.81619682792</v>
      </c>
      <c r="K16" s="73">
        <f>F3</f>
        <v>1749272</v>
      </c>
      <c r="L16" s="73">
        <f t="shared" ref="L16:L20" si="3">$L$22*D16+$L$21</f>
        <v>2157442.5593413762</v>
      </c>
      <c r="M16" s="74">
        <f>K16-L16</f>
        <v>-408170.55934137618</v>
      </c>
    </row>
    <row r="17" spans="1:13" x14ac:dyDescent="0.25">
      <c r="A17" s="75" t="s">
        <v>104</v>
      </c>
      <c r="B17" s="76">
        <f t="shared" si="0"/>
        <v>1.0222</v>
      </c>
      <c r="C17" s="76">
        <f t="shared" si="0"/>
        <v>0.54500000000000004</v>
      </c>
      <c r="D17" s="76">
        <f>C17*$T$3/B17</f>
        <v>5.775940781321335</v>
      </c>
      <c r="E17" s="76">
        <f t="shared" ref="E17:E20" si="4">D4</f>
        <v>3049277</v>
      </c>
      <c r="F17" s="76">
        <f t="shared" si="1"/>
        <v>2803894.2374094054</v>
      </c>
      <c r="G17" s="76">
        <f t="shared" ref="G17:G20" si="5">E17-F17</f>
        <v>245382.76259059459</v>
      </c>
      <c r="H17" s="76">
        <f t="shared" ref="H17:H20" si="6">E4</f>
        <v>2327732</v>
      </c>
      <c r="I17" s="76">
        <f t="shared" si="2"/>
        <v>2144226.8248119168</v>
      </c>
      <c r="J17" s="76">
        <f t="shared" ref="J17:J20" si="7">H17-I17</f>
        <v>183505.1751880832</v>
      </c>
      <c r="K17" s="76">
        <f t="shared" ref="K17:K20" si="8">F4</f>
        <v>6080140</v>
      </c>
      <c r="L17" s="76">
        <f t="shared" si="3"/>
        <v>5599438.9352536909</v>
      </c>
      <c r="M17" s="77">
        <f t="shared" ref="M17:M20" si="9">K17-L17</f>
        <v>480701.06474630907</v>
      </c>
    </row>
    <row r="18" spans="1:13" x14ac:dyDescent="0.25">
      <c r="A18" s="72" t="s">
        <v>105</v>
      </c>
      <c r="B18" s="73">
        <f t="shared" si="0"/>
        <v>1.0182</v>
      </c>
      <c r="C18" s="73">
        <f t="shared" si="0"/>
        <v>1.1019000000000001</v>
      </c>
      <c r="D18" s="73">
        <f t="shared" ref="D18:D19" si="10">C18*$T$3/B18</f>
        <v>11.723875466509531</v>
      </c>
      <c r="E18" s="73">
        <f t="shared" si="4"/>
        <v>4665325</v>
      </c>
      <c r="F18" s="73">
        <f t="shared" si="1"/>
        <v>4578850.1934418818</v>
      </c>
      <c r="G18" s="73">
        <f t="shared" si="5"/>
        <v>86474.806558118202</v>
      </c>
      <c r="H18" s="73">
        <f t="shared" si="6"/>
        <v>3574831</v>
      </c>
      <c r="I18" s="73">
        <f t="shared" si="2"/>
        <v>3499034.8420820446</v>
      </c>
      <c r="J18" s="73">
        <f t="shared" si="7"/>
        <v>75796.157917955425</v>
      </c>
      <c r="K18" s="73">
        <f t="shared" si="8"/>
        <v>9336501</v>
      </c>
      <c r="L18" s="73">
        <f t="shared" si="3"/>
        <v>9143929.8512248658</v>
      </c>
      <c r="M18" s="74">
        <f t="shared" si="9"/>
        <v>192571.14877513424</v>
      </c>
    </row>
    <row r="19" spans="1:13" x14ac:dyDescent="0.25">
      <c r="A19" s="75" t="s">
        <v>106</v>
      </c>
      <c r="B19" s="76">
        <f t="shared" si="0"/>
        <v>1.0224</v>
      </c>
      <c r="C19" s="76">
        <f t="shared" si="0"/>
        <v>1.5402</v>
      </c>
      <c r="D19" s="76">
        <f t="shared" si="10"/>
        <v>16.319933489827861</v>
      </c>
      <c r="E19" s="76">
        <f t="shared" si="4"/>
        <v>5897027</v>
      </c>
      <c r="F19" s="76">
        <f t="shared" si="1"/>
        <v>5950385.1874415018</v>
      </c>
      <c r="G19" s="76">
        <f t="shared" si="5"/>
        <v>-53358.187441501766</v>
      </c>
      <c r="H19" s="76">
        <f>E6</f>
        <v>4488054</v>
      </c>
      <c r="I19" s="76">
        <f t="shared" si="2"/>
        <v>4545915.2446756633</v>
      </c>
      <c r="J19" s="76">
        <f t="shared" si="7"/>
        <v>-57861.2446756633</v>
      </c>
      <c r="K19" s="76">
        <f t="shared" si="8"/>
        <v>11750363</v>
      </c>
      <c r="L19" s="76">
        <f t="shared" si="3"/>
        <v>11882810.954525484</v>
      </c>
      <c r="M19" s="77">
        <f t="shared" si="9"/>
        <v>-132447.95452548377</v>
      </c>
    </row>
    <row r="20" spans="1:13" x14ac:dyDescent="0.25">
      <c r="A20" s="78" t="s">
        <v>107</v>
      </c>
      <c r="B20" s="79">
        <f>B7</f>
        <v>1.0221</v>
      </c>
      <c r="C20" s="79">
        <f t="shared" si="0"/>
        <v>2.0425</v>
      </c>
      <c r="D20" s="79">
        <f>C20*$T$3/B20</f>
        <v>21.64864820793791</v>
      </c>
      <c r="E20" s="79">
        <f t="shared" si="4"/>
        <v>7468482</v>
      </c>
      <c r="F20" s="79">
        <f t="shared" si="1"/>
        <v>7540556.3018723065</v>
      </c>
      <c r="G20" s="79">
        <f t="shared" si="5"/>
        <v>-72074.301872306503</v>
      </c>
      <c r="H20" s="79">
        <f t="shared" si="6"/>
        <v>5713291</v>
      </c>
      <c r="I20" s="79">
        <f t="shared" si="2"/>
        <v>5759678.643897051</v>
      </c>
      <c r="J20" s="79">
        <f t="shared" si="7"/>
        <v>-46387.643897050992</v>
      </c>
      <c r="K20" s="79">
        <f t="shared" si="8"/>
        <v>14925605</v>
      </c>
      <c r="L20" s="79">
        <f t="shared" si="3"/>
        <v>15058296.549412334</v>
      </c>
      <c r="M20" s="80">
        <f t="shared" si="9"/>
        <v>-132691.54941233434</v>
      </c>
    </row>
    <row r="21" spans="1:13" x14ac:dyDescent="0.25">
      <c r="A21" s="9"/>
      <c r="E21" t="s">
        <v>108</v>
      </c>
      <c r="F21">
        <v>1080263.9297284456</v>
      </c>
      <c r="G21" s="52">
        <f>SUMSQ(G16:G20)</f>
        <v>118351572202.61414</v>
      </c>
      <c r="H21" t="s">
        <v>108</v>
      </c>
      <c r="I21">
        <v>828595.21619682794</v>
      </c>
      <c r="J21" s="52">
        <f>SUMSQ(J16:J20)</f>
        <v>68964661503.090149</v>
      </c>
      <c r="K21" t="s">
        <v>108</v>
      </c>
      <c r="L21">
        <v>2157442.5593413762</v>
      </c>
      <c r="M21" s="81">
        <f>SUMSQ(M16:M20)</f>
        <v>469909874445.2926</v>
      </c>
    </row>
    <row r="22" spans="1:13" x14ac:dyDescent="0.25">
      <c r="A22" s="9"/>
      <c r="E22" t="s">
        <v>109</v>
      </c>
      <c r="F22">
        <v>298415.50890808349</v>
      </c>
      <c r="H22" t="s">
        <v>109</v>
      </c>
      <c r="I22">
        <v>227777.89081038986</v>
      </c>
      <c r="K22" t="s">
        <v>109</v>
      </c>
      <c r="L22">
        <v>595919.6096752407</v>
      </c>
      <c r="M22" s="71"/>
    </row>
    <row r="23" spans="1:13" x14ac:dyDescent="0.25">
      <c r="A23" s="9"/>
      <c r="E23" t="s">
        <v>110</v>
      </c>
      <c r="F23">
        <f>F21/F22</f>
        <v>3.6199992878425875</v>
      </c>
      <c r="H23" t="s">
        <v>110</v>
      </c>
      <c r="I23">
        <f>I21/I22</f>
        <v>3.6377332903068238</v>
      </c>
      <c r="K23" t="s">
        <v>110</v>
      </c>
      <c r="L23">
        <f>L21/L22</f>
        <v>3.6203583911546748</v>
      </c>
      <c r="M23" s="71"/>
    </row>
    <row r="24" spans="1:13" x14ac:dyDescent="0.25">
      <c r="A24" s="9"/>
      <c r="E24" t="s">
        <v>111</v>
      </c>
      <c r="F24">
        <f>F23*$E$10/$I$10</f>
        <v>7.2716568425501915E-3</v>
      </c>
      <c r="H24" t="s">
        <v>111</v>
      </c>
      <c r="I24">
        <f>I23*$E$10/$I$10</f>
        <v>7.3072799380568534E-3</v>
      </c>
      <c r="K24" t="s">
        <v>111</v>
      </c>
      <c r="L24">
        <f>L23*$E$10/$I$10</f>
        <v>7.2723781896690412E-3</v>
      </c>
      <c r="M24" s="71"/>
    </row>
    <row r="25" spans="1:13" x14ac:dyDescent="0.25">
      <c r="A25" s="9"/>
      <c r="E25" t="s">
        <v>112</v>
      </c>
      <c r="F25" s="82">
        <f>F24*256.76/150.36</f>
        <v>1.2417335800034497E-2</v>
      </c>
      <c r="H25" t="s">
        <v>112</v>
      </c>
      <c r="I25" s="82">
        <f>I24*256.76/150.36</f>
        <v>1.2478167045061703E-2</v>
      </c>
      <c r="K25" t="s">
        <v>112</v>
      </c>
      <c r="L25" s="82">
        <f>L24*256.76/150.36</f>
        <v>1.2418567597628511E-2</v>
      </c>
      <c r="M25" s="71"/>
    </row>
    <row r="26" spans="1:13" x14ac:dyDescent="0.25">
      <c r="A26" s="9"/>
      <c r="M26" s="71"/>
    </row>
    <row r="27" spans="1:13" x14ac:dyDescent="0.25">
      <c r="A27" s="9"/>
      <c r="E27" s="83">
        <f>AVERAGE(F25,I25,L25)</f>
        <v>1.2438023480908236E-2</v>
      </c>
      <c r="M27" s="71"/>
    </row>
    <row r="28" spans="1:13" x14ac:dyDescent="0.25">
      <c r="A28" s="9"/>
      <c r="M28" s="71"/>
    </row>
    <row r="29" spans="1:13" x14ac:dyDescent="0.25">
      <c r="A29" s="9"/>
      <c r="M29" s="71"/>
    </row>
    <row r="30" spans="1:13" x14ac:dyDescent="0.25">
      <c r="A30" s="9"/>
      <c r="M30" s="71"/>
    </row>
    <row r="31" spans="1:13" x14ac:dyDescent="0.25">
      <c r="A31" s="9"/>
      <c r="M31" s="71"/>
    </row>
    <row r="32" spans="1:13" x14ac:dyDescent="0.25">
      <c r="A32" s="9"/>
      <c r="M32" s="71"/>
    </row>
    <row r="33" spans="1:13" x14ac:dyDescent="0.25">
      <c r="A33" s="9"/>
      <c r="M33" s="71"/>
    </row>
    <row r="34" spans="1:13" x14ac:dyDescent="0.25">
      <c r="A34" s="9"/>
      <c r="M34" s="71"/>
    </row>
    <row r="35" spans="1:13" x14ac:dyDescent="0.25">
      <c r="A35" s="9"/>
      <c r="M35" s="71"/>
    </row>
    <row r="36" spans="1:13" x14ac:dyDescent="0.25">
      <c r="A36" s="9"/>
      <c r="B36" t="s">
        <v>113</v>
      </c>
      <c r="M36" s="71"/>
    </row>
    <row r="37" spans="1:13" x14ac:dyDescent="0.25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84"/>
    </row>
  </sheetData>
  <mergeCells count="3">
    <mergeCell ref="E13:G13"/>
    <mergeCell ref="H13:J13"/>
    <mergeCell ref="K13:M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</vt:lpstr>
      <vt:lpstr>Randomizer</vt:lpstr>
      <vt:lpstr>Full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2024-12-09T20:14:09Z</dcterms:modified>
  <cp:category/>
  <cp:contentStatus/>
</cp:coreProperties>
</file>