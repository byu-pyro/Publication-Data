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481" documentId="11_4AB480A97D773D78B6F332151CC35944F734729B" xr6:coauthVersionLast="47" xr6:coauthVersionMax="47" xr10:uidLastSave="{53931C69-2D3F-4D60-BDC9-27C4DF351BE8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Calculations!$L$21:$L$22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Calculations!$M$21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C10" i="5"/>
  <c r="B10" i="5"/>
  <c r="E10" i="5"/>
  <c r="F24" i="5" s="1"/>
  <c r="D20" i="5"/>
  <c r="D17" i="5"/>
  <c r="D16" i="5"/>
  <c r="L23" i="5"/>
  <c r="I23" i="5"/>
  <c r="F23" i="5"/>
  <c r="K20" i="5"/>
  <c r="H20" i="5"/>
  <c r="E20" i="5"/>
  <c r="C20" i="5"/>
  <c r="B20" i="5"/>
  <c r="K19" i="5"/>
  <c r="H19" i="5"/>
  <c r="E19" i="5"/>
  <c r="C19" i="5"/>
  <c r="D19" i="5" s="1"/>
  <c r="B19" i="5"/>
  <c r="K18" i="5"/>
  <c r="H18" i="5"/>
  <c r="E18" i="5"/>
  <c r="C18" i="5"/>
  <c r="D18" i="5" s="1"/>
  <c r="B18" i="5"/>
  <c r="K17" i="5"/>
  <c r="H17" i="5"/>
  <c r="E17" i="5"/>
  <c r="C17" i="5"/>
  <c r="B17" i="5"/>
  <c r="K16" i="5"/>
  <c r="H16" i="5"/>
  <c r="E16" i="5"/>
  <c r="C16" i="5"/>
  <c r="B16" i="5"/>
  <c r="L15" i="5"/>
  <c r="I15" i="5"/>
  <c r="F15" i="5"/>
  <c r="F25" i="5" l="1"/>
  <c r="L24" i="5"/>
  <c r="L25" i="5" s="1"/>
  <c r="I24" i="5"/>
  <c r="I25" i="5" s="1"/>
  <c r="E27" i="5"/>
  <c r="F17" i="5"/>
  <c r="G17" i="5" s="1"/>
  <c r="L17" i="5"/>
  <c r="M17" i="5" s="1"/>
  <c r="I17" i="5"/>
  <c r="J17" i="5" s="1"/>
  <c r="I16" i="5"/>
  <c r="J16" i="5" s="1"/>
  <c r="F16" i="5"/>
  <c r="G16" i="5" s="1"/>
  <c r="L16" i="5"/>
  <c r="M16" i="5" s="1"/>
  <c r="F19" i="5"/>
  <c r="G19" i="5" s="1"/>
  <c r="L19" i="5"/>
  <c r="M19" i="5" s="1"/>
  <c r="I19" i="5"/>
  <c r="J19" i="5" s="1"/>
  <c r="I20" i="5"/>
  <c r="J20" i="5" s="1"/>
  <c r="F20" i="5"/>
  <c r="G20" i="5" s="1"/>
  <c r="L20" i="5"/>
  <c r="M20" i="5" s="1"/>
  <c r="L18" i="5"/>
  <c r="M18" i="5" s="1"/>
  <c r="I18" i="5"/>
  <c r="J18" i="5" s="1"/>
  <c r="F18" i="5"/>
  <c r="G18" i="5" s="1"/>
  <c r="J21" i="5" l="1"/>
  <c r="M21" i="5"/>
  <c r="G21" i="5"/>
  <c r="I10" i="5" l="1"/>
  <c r="T3" i="5"/>
  <c r="M4" i="5"/>
  <c r="K4" i="5"/>
  <c r="I4" i="5"/>
  <c r="Q3" i="5"/>
  <c r="M3" i="5"/>
  <c r="M6" i="5" s="1"/>
  <c r="K3" i="5"/>
  <c r="K6" i="5" s="1"/>
  <c r="I3" i="5"/>
  <c r="I6" i="5" s="1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R9" i="1" s="1"/>
  <c r="U17" i="1"/>
  <c r="U16" i="1"/>
  <c r="U15" i="1"/>
  <c r="U14" i="1"/>
  <c r="U13" i="1"/>
  <c r="E5" i="2"/>
  <c r="E4" i="2"/>
  <c r="E3" i="2"/>
  <c r="E2" i="2"/>
  <c r="E6" i="2"/>
  <c r="F13" i="1"/>
  <c r="E13" i="1"/>
  <c r="D13" i="1"/>
  <c r="C13" i="1"/>
  <c r="B13" i="1"/>
  <c r="U22" i="1"/>
  <c r="I12" i="1"/>
  <c r="U21" i="1"/>
  <c r="U20" i="1"/>
  <c r="U19" i="1"/>
  <c r="U18" i="1"/>
  <c r="I7" i="1"/>
  <c r="K3" i="1"/>
  <c r="L3" i="1" s="1"/>
  <c r="H10" i="5" l="1"/>
  <c r="L10" i="5" s="1"/>
  <c r="G10" i="5"/>
  <c r="K10" i="5" s="1"/>
  <c r="F10" i="5"/>
  <c r="J10" i="5" s="1"/>
  <c r="K12" i="1"/>
  <c r="J12" i="1" s="1"/>
  <c r="K7" i="1" l="1"/>
  <c r="J7" i="1" s="1"/>
</calcChain>
</file>

<file path=xl/sharedStrings.xml><?xml version="1.0" encoding="utf-8"?>
<sst xmlns="http://schemas.openxmlformats.org/spreadsheetml/2006/main" count="210" uniqueCount="114">
  <si>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</si>
  <si>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</si>
  <si>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</si>
  <si>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</si>
  <si>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</si>
  <si>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</si>
  <si>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</si>
  <si>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</si>
  <si>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</si>
  <si>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</si>
  <si>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</si>
  <si>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Sm PPM</t>
  </si>
  <si>
    <t xml:space="preserve"> Sm Standard Preperetion</t>
  </si>
  <si>
    <t>Cr Standard Preperetion</t>
  </si>
  <si>
    <t>B15</t>
  </si>
  <si>
    <t>Blank</t>
  </si>
  <si>
    <t>2% HNO3</t>
  </si>
  <si>
    <t>Sm Initial Concentration</t>
  </si>
  <si>
    <t>Target Concentration</t>
  </si>
  <si>
    <t>Cr Initial Concentration</t>
  </si>
  <si>
    <t>B17</t>
  </si>
  <si>
    <t>Sm 2</t>
  </si>
  <si>
    <t>ppm</t>
  </si>
  <si>
    <t xml:space="preserve">Blank </t>
  </si>
  <si>
    <t>Final</t>
  </si>
  <si>
    <t>Goal (ppm)</t>
  </si>
  <si>
    <t>Dilution (x)</t>
  </si>
  <si>
    <t>C_Sm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</si>
  <si>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</si>
  <si>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</si>
  <si>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</si>
  <si>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</si>
  <si>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</si>
  <si>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</si>
  <si>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</si>
  <si>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</si>
  <si>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</si>
  <si>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</si>
  <si>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</si>
  <si>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</si>
  <si>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</si>
  <si>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</si>
  <si>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</si>
  <si>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</si>
  <si>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</si>
  <si>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</si>
  <si>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Sm2 - 0</t>
  </si>
  <si>
    <t>Sm2 - 0.5</t>
  </si>
  <si>
    <t>Sm2 - 1</t>
  </si>
  <si>
    <t>Sm2 - 1.5</t>
  </si>
  <si>
    <t>Sm2 - 2</t>
  </si>
  <si>
    <t>Column1</t>
  </si>
  <si>
    <t>Column2</t>
  </si>
  <si>
    <t>Column3</t>
  </si>
  <si>
    <t>Column4</t>
  </si>
  <si>
    <t>Column5</t>
  </si>
  <si>
    <t xml:space="preserve">147  Sm  [ He ] </t>
  </si>
  <si>
    <t xml:space="preserve">148  Sm  [ He ] </t>
  </si>
  <si>
    <t xml:space="preserve">152  Sm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</si>
  <si>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</si>
  <si>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</si>
  <si>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</si>
  <si>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</si>
  <si>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</si>
  <si>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</si>
  <si>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</si>
  <si>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</si>
  <si>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</si>
  <si>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</si>
  <si>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002SMPL.d</t>
  </si>
  <si>
    <t>003SMPL.d</t>
  </si>
  <si>
    <t>004SMPL.d</t>
  </si>
  <si>
    <t>005SMPL.d</t>
  </si>
  <si>
    <t>006SMPL.d</t>
  </si>
  <si>
    <t>007SMPL.d</t>
  </si>
  <si>
    <t>008SMPL.d</t>
  </si>
  <si>
    <t>Name</t>
  </si>
  <si>
    <t>Std</t>
  </si>
  <si>
    <t>CPS2</t>
  </si>
  <si>
    <t>CPS3</t>
  </si>
  <si>
    <t>Sm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</si>
  <si>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</si>
  <si>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</si>
  <si>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</si>
  <si>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</si>
  <si>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</si>
  <si>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</si>
  <si>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</si>
  <si>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147 Sm %</t>
  </si>
  <si>
    <t>148 Sm%</t>
  </si>
  <si>
    <t>152 Sm%</t>
  </si>
  <si>
    <t>Sm2_1ppm</t>
  </si>
  <si>
    <t>Replicate 1</t>
  </si>
  <si>
    <t>Replicate 2</t>
  </si>
  <si>
    <t>Replicate 3</t>
  </si>
  <si>
    <t>name</t>
  </si>
  <si>
    <t>mass of sample (g)</t>
  </si>
  <si>
    <t>mas of std (g)</t>
  </si>
  <si>
    <t>Counts</t>
  </si>
  <si>
    <t>yhat</t>
  </si>
  <si>
    <t>ε</t>
  </si>
  <si>
    <t>zero</t>
  </si>
  <si>
    <t>Sm1 - 0</t>
  </si>
  <si>
    <t>Sm1 - 0.5</t>
  </si>
  <si>
    <t>Sm1 - 1</t>
  </si>
  <si>
    <t>Sm1 - 1.5</t>
  </si>
  <si>
    <t>Sm1 - 2</t>
  </si>
  <si>
    <t xml:space="preserve">b/counts = </t>
  </si>
  <si>
    <t xml:space="preserve">OG Sm mass frac = </t>
  </si>
  <si>
    <t xml:space="preserve">SmCl3 wt.% = </t>
  </si>
  <si>
    <t>spiked Sm conc (ppm_sam)</t>
  </si>
  <si>
    <t>m/(counts/ppm) =</t>
  </si>
  <si>
    <t xml:space="preserve">Cx/ppm = </t>
  </si>
  <si>
    <t>x-axis units = g_Sm per 1 million grams of diluted sample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</si>
</sst>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%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2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0" fontId="11" fillId="0" borderId="0" xfId="0" applyFont="1"/>
    <xf numFmtId="0" fontId="12" fillId="0" borderId="0" xfId="0" applyFont="1"/>
    <xf numFmtId="0" fontId="11" fillId="6" borderId="21" xfId="0" applyFont="1" applyFill="1" applyBorder="1"/>
    <xf numFmtId="0" fontId="11" fillId="7" borderId="21" xfId="0" applyFont="1" applyFill="1" applyBorder="1"/>
    <xf numFmtId="0" fontId="13" fillId="8" borderId="0" xfId="0" applyFont="1" applyFill="1"/>
    <xf numFmtId="0" fontId="14" fillId="8" borderId="0" xfId="0" applyFont="1" applyFill="1"/>
    <xf numFmtId="0" fontId="12" fillId="6" borderId="0" xfId="0" applyFont="1" applyFill="1"/>
    <xf numFmtId="0" fontId="11" fillId="9" borderId="0" xfId="0" applyFont="1" applyFill="1"/>
    <xf numFmtId="0" fontId="12" fillId="9" borderId="0" xfId="0" applyFont="1" applyFill="1"/>
    <xf numFmtId="0" fontId="12" fillId="0" borderId="22" xfId="0" applyFont="1" applyBorder="1"/>
    <xf numFmtId="0" fontId="11" fillId="9" borderId="23" xfId="0" applyFont="1" applyFill="1" applyBorder="1"/>
    <xf numFmtId="0" fontId="12" fillId="9" borderId="24" xfId="0" applyFont="1" applyFill="1" applyBorder="1"/>
    <xf numFmtId="0" fontId="11" fillId="9" borderId="24" xfId="0" applyFont="1" applyFill="1" applyBorder="1"/>
    <xf numFmtId="0" fontId="11" fillId="9" borderId="25" xfId="0" applyFont="1" applyFill="1" applyBorder="1"/>
    <xf numFmtId="0" fontId="12" fillId="10" borderId="0" xfId="0" applyFont="1" applyFill="1"/>
    <xf numFmtId="0" fontId="12" fillId="11" borderId="0" xfId="0" applyFont="1" applyFill="1"/>
    <xf numFmtId="1" fontId="12" fillId="0" borderId="0" xfId="0" applyNumberFormat="1" applyFont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2" fillId="9" borderId="31" xfId="0" applyFont="1" applyFill="1" applyBorder="1"/>
    <xf numFmtId="0" fontId="12" fillId="9" borderId="26" xfId="0" applyFont="1" applyFill="1" applyBorder="1"/>
    <xf numFmtId="0" fontId="12" fillId="9" borderId="32" xfId="0" applyFont="1" applyFill="1" applyBorder="1"/>
    <xf numFmtId="0" fontId="12" fillId="0" borderId="31" xfId="0" applyFont="1" applyBorder="1"/>
    <xf numFmtId="0" fontId="12" fillId="0" borderId="26" xfId="0" applyFont="1" applyBorder="1"/>
    <xf numFmtId="0" fontId="12" fillId="0" borderId="32" xfId="0" applyFont="1" applyBorder="1"/>
    <xf numFmtId="0" fontId="12" fillId="9" borderId="33" xfId="0" applyFont="1" applyFill="1" applyBorder="1"/>
    <xf numFmtId="0" fontId="12" fillId="9" borderId="27" xfId="0" applyFont="1" applyFill="1" applyBorder="1"/>
    <xf numFmtId="0" fontId="12" fillId="9" borderId="34" xfId="0" applyFont="1" applyFill="1" applyBorder="1"/>
    <xf numFmtId="0" fontId="12" fillId="0" borderId="30" xfId="0" applyFont="1" applyBorder="1"/>
    <xf numFmtId="166" fontId="0" fillId="0" borderId="0" xfId="1" applyNumberFormat="1" applyFont="1" applyBorder="1"/>
    <xf numFmtId="166" fontId="0" fillId="0" borderId="0" xfId="0" applyNumberFormat="1"/>
    <xf numFmtId="0" fontId="0" fillId="0" borderId="35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1" fillId="0" borderId="2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05760818359245"/>
          <c:y val="3.2727425029318143E-2"/>
          <c:w val="0.80659196446598025"/>
          <c:h val="0.67238603153329235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0.57913446172911986</c:v>
                </c:pt>
                <c:pt idx="2">
                  <c:v>1.1489255739525164</c:v>
                </c:pt>
                <c:pt idx="3">
                  <c:v>1.6414173510624435</c:v>
                </c:pt>
                <c:pt idx="4">
                  <c:v>2.1330642530985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884063.1</c:v>
                </c:pt>
                <c:pt idx="1">
                  <c:v>1216144</c:v>
                </c:pt>
                <c:pt idx="2">
                  <c:v>1399395</c:v>
                </c:pt>
                <c:pt idx="3">
                  <c:v>1781452</c:v>
                </c:pt>
                <c:pt idx="4">
                  <c:v>2171040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C3-4DED-A2E4-6F20B8FE27E9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0.57913446172911986</c:v>
                </c:pt>
                <c:pt idx="2">
                  <c:v>1.1489255739525164</c:v>
                </c:pt>
                <c:pt idx="3">
                  <c:v>1.6414173510624435</c:v>
                </c:pt>
                <c:pt idx="4">
                  <c:v>2.1330642530985</c:v>
                </c:pt>
              </c:numCache>
            </c:numRef>
          </c:xVal>
          <c:yVal>
            <c:numRef>
              <c:f>Calculations!$H$16:$H$20</c:f>
              <c:numCache>
                <c:formatCode>General</c:formatCode>
                <c:ptCount val="5"/>
                <c:pt idx="0">
                  <c:v>682603.5</c:v>
                </c:pt>
                <c:pt idx="1">
                  <c:v>938529.5</c:v>
                </c:pt>
                <c:pt idx="2">
                  <c:v>1070398</c:v>
                </c:pt>
                <c:pt idx="3">
                  <c:v>1363775</c:v>
                </c:pt>
                <c:pt idx="4">
                  <c:v>1657035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C3-4DED-A2E4-6F20B8FE27E9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0.57913446172911986</c:v>
                </c:pt>
                <c:pt idx="2">
                  <c:v>1.1489255739525164</c:v>
                </c:pt>
                <c:pt idx="3">
                  <c:v>1.6414173510624435</c:v>
                </c:pt>
                <c:pt idx="4">
                  <c:v>2.1330642530985</c:v>
                </c:pt>
              </c:numCache>
            </c:numRef>
          </c:xVal>
          <c:yVal>
            <c:numRef>
              <c:f>Calculations!$K$16:$K$20</c:f>
              <c:numCache>
                <c:formatCode>General</c:formatCode>
                <c:ptCount val="5"/>
                <c:pt idx="0">
                  <c:v>1766748</c:v>
                </c:pt>
                <c:pt idx="1">
                  <c:v>2444881</c:v>
                </c:pt>
                <c:pt idx="2">
                  <c:v>2810746</c:v>
                </c:pt>
                <c:pt idx="3">
                  <c:v>3558667</c:v>
                </c:pt>
                <c:pt idx="4">
                  <c:v>4329143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C3-4DED-A2E4-6F20B8FE27E9}"/>
            </c:ext>
          </c:extLst>
        </c:ser>
        <c:ser>
          <c:idx val="3"/>
          <c:order val="3"/>
          <c:tx>
            <c:v>147 fit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0.57913446172911986</c:v>
                </c:pt>
                <c:pt idx="3">
                  <c:v>1.1489255739525164</c:v>
                </c:pt>
                <c:pt idx="4">
                  <c:v>1.6414173510624435</c:v>
                </c:pt>
                <c:pt idx="5">
                  <c:v>2.1330642530985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-584972150.2286061</c:v>
                </c:pt>
                <c:pt idx="1">
                  <c:v>845721.3708845356</c:v>
                </c:pt>
                <c:pt idx="2">
                  <c:v>1184988.6886246053</c:v>
                </c:pt>
                <c:pt idx="3">
                  <c:v>1518782.5052436218</c:v>
                </c:pt>
                <c:pt idx="4">
                  <c:v>1807292.9898904101</c:v>
                </c:pt>
                <c:pt idx="5">
                  <c:v>2095308.5316196561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C3-4DED-A2E4-6F20B8FE27E9}"/>
            </c:ext>
          </c:extLst>
        </c:ser>
        <c:ser>
          <c:idx val="4"/>
          <c:order val="4"/>
          <c:tx>
            <c:v>148 fit</c:v>
          </c:tx>
          <c:spPr>
            <a:ln w="12700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0.57913446172911986</c:v>
                </c:pt>
                <c:pt idx="3">
                  <c:v>1.1489255739525164</c:v>
                </c:pt>
                <c:pt idx="4">
                  <c:v>1.6414173510624435</c:v>
                </c:pt>
                <c:pt idx="5">
                  <c:v>2.1330642530985</c:v>
                </c:pt>
              </c:numCache>
            </c:numRef>
          </c:xVal>
          <c:yVal>
            <c:numRef>
              <c:f>Calculations!$I$15:$I$20</c:f>
              <c:numCache>
                <c:formatCode>General</c:formatCode>
                <c:ptCount val="6"/>
                <c:pt idx="0">
                  <c:v>-442357905.77573389</c:v>
                </c:pt>
                <c:pt idx="1">
                  <c:v>654928.87947289017</c:v>
                </c:pt>
                <c:pt idx="2">
                  <c:v>911492.87901002495</c:v>
                </c:pt>
                <c:pt idx="3">
                  <c:v>1163917.6547974548</c:v>
                </c:pt>
                <c:pt idx="4">
                  <c:v>1382097.8330193041</c:v>
                </c:pt>
                <c:pt idx="5">
                  <c:v>1599903.7207397483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C3-4DED-A2E4-6F20B8FE27E9}"/>
            </c:ext>
          </c:extLst>
        </c:ser>
        <c:ser>
          <c:idx val="5"/>
          <c:order val="5"/>
          <c:tx>
            <c:v>152 fit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0.57913446172911986</c:v>
                </c:pt>
                <c:pt idx="3">
                  <c:v>1.1489255739525164</c:v>
                </c:pt>
                <c:pt idx="4">
                  <c:v>1.6414173510624435</c:v>
                </c:pt>
                <c:pt idx="5">
                  <c:v>2.1330642530985</c:v>
                </c:pt>
              </c:numCache>
            </c:numRef>
          </c:xVal>
          <c:yVal>
            <c:numRef>
              <c:f>Calculations!$L$15:$L$20</c:f>
              <c:numCache>
                <c:formatCode>General</c:formatCode>
                <c:ptCount val="6"/>
                <c:pt idx="0">
                  <c:v>-1162860881.177438</c:v>
                </c:pt>
                <c:pt idx="1">
                  <c:v>1700427.5699063251</c:v>
                </c:pt>
                <c:pt idx="2">
                  <c:v>2374865.1565982774</c:v>
                </c:pt>
                <c:pt idx="3">
                  <c:v>3038421.8399617611</c:v>
                </c:pt>
                <c:pt idx="4">
                  <c:v>3611958.7084602034</c:v>
                </c:pt>
                <c:pt idx="5">
                  <c:v>4184511.6681368905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C3-4DED-A2E4-6F20B8FE2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2.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Sm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0.5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 × 10</a:t>
                </a:r>
                <a:r>
                  <a:rPr lang="en-US" baseline="30000"/>
                  <a:t>-6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,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393162393162394"/>
          <c:y val="0.87871875058170923"/>
          <c:w val="0.77777777777777779"/>
          <c:h val="0.1163210067491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22</xdr:row>
      <xdr:rowOff>60960</xdr:rowOff>
    </xdr:from>
    <xdr:to>
      <xdr:col>3</xdr:col>
      <xdr:colOff>1264920</xdr:colOff>
      <xdr:row>34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AD7BA-BC4D-41F5-8AC5-BB9BEFA3F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DFB35F-AC3A-4F22-93CC-C774B7475077}" name="Table4" displayName="Table4" ref="A2:F7" totalsRowShown="0" headerRowDxfId="1" dataDxfId="0">
  <autoFilter ref="A2:F7" xr:uid="{C0DFB35F-AC3A-4F22-93CC-C774B7475077}"/>
  <tableColumns count="6">
    <tableColumn id="1" xr3:uid="{4B07C9E1-4BD3-4016-A5E0-C4C005C1B65E}" name="Name"/>
    <tableColumn id="2" xr3:uid="{2FC1BAC3-5F46-4666-A9D9-048DFD215BE2}" name="Sample"/>
    <tableColumn id="3" xr3:uid="{49578D50-2854-44FE-A63F-B027442794F3}" name="Std"/>
    <tableColumn id="4" xr3:uid="{76CEB238-4157-4A9F-AA62-9A79E2524407}" name="CPS"/>
    <tableColumn id="5" xr3:uid="{A9BEDB4C-CF91-4C2F-8ECB-9A8F8DEFB1A0}" name="CPS2"/>
    <tableColumn id="6" xr3:uid="{D5BF3300-07BA-4E48-89F0-B61DEBD37942}" name="CPS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G1" workbookViewId="0">
      <selection activeCell="K38" sqref="K38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83" t="s">
        <v>12</v>
      </c>
      <c r="R1" s="83"/>
      <c r="S1" s="83"/>
      <c r="T1" s="83"/>
      <c r="U1" s="83"/>
      <c r="X1" s="83" t="s">
        <v>13</v>
      </c>
      <c r="Y1" s="83"/>
      <c r="Z1" s="83"/>
      <c r="AA1" s="83"/>
      <c r="AB1" s="83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8">
        <v>35.020699999999998</v>
      </c>
      <c r="G2" s="48">
        <v>35.020699999999998</v>
      </c>
      <c r="H2" s="6">
        <v>0</v>
      </c>
      <c r="I2" s="48">
        <f>G2-E2</f>
        <v>26.932099999999998</v>
      </c>
      <c r="J2" s="6">
        <v>1</v>
      </c>
      <c r="K2" s="6">
        <v>0</v>
      </c>
      <c r="L2" s="6">
        <v>0</v>
      </c>
      <c r="Q2" s="84" t="s">
        <v>17</v>
      </c>
      <c r="R2" s="84"/>
      <c r="S2" s="84"/>
      <c r="U2" t="s">
        <v>18</v>
      </c>
      <c r="X2" s="84" t="s">
        <v>19</v>
      </c>
      <c r="Y2" s="84"/>
      <c r="Z2" s="84"/>
      <c r="AB2" t="s">
        <v>18</v>
      </c>
    </row>
    <row r="3" spans="1:30" ht="17.25" x14ac:dyDescent="0.3">
      <c r="A3" s="2" t="s">
        <v>20</v>
      </c>
      <c r="B3" s="3" t="s">
        <v>21</v>
      </c>
      <c r="C3" s="7"/>
      <c r="D3" s="5" t="s">
        <v>16</v>
      </c>
      <c r="E3" s="6">
        <v>8.1095000000000006</v>
      </c>
      <c r="F3" s="48">
        <f t="shared" ref="F3" si="0">G3-H3</f>
        <v>35.093499999999999</v>
      </c>
      <c r="G3" s="48">
        <v>35.194600000000001</v>
      </c>
      <c r="H3" s="48">
        <v>0.10110000000000241</v>
      </c>
      <c r="I3" s="46">
        <v>20.0441</v>
      </c>
      <c r="J3" s="6">
        <v>1</v>
      </c>
      <c r="K3" s="6">
        <f>(H3/I3*1000000)*J3</f>
        <v>5043.8782484622607</v>
      </c>
      <c r="L3" s="6">
        <f>K3*0.02</f>
        <v>100.87756496924521</v>
      </c>
      <c r="Q3">
        <v>1000</v>
      </c>
      <c r="R3" t="s">
        <v>22</v>
      </c>
      <c r="U3">
        <v>1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10"/>
    </row>
    <row r="5" spans="1:30" ht="21" x14ac:dyDescent="0.35">
      <c r="A5" s="14" t="s">
        <v>23</v>
      </c>
      <c r="E5" s="15" t="s">
        <v>24</v>
      </c>
      <c r="M5" s="16"/>
      <c r="N5" s="6"/>
      <c r="R5" s="8">
        <v>1000</v>
      </c>
      <c r="S5" s="8"/>
    </row>
    <row r="6" spans="1:30" x14ac:dyDescent="0.25">
      <c r="A6" s="18" t="s">
        <v>7</v>
      </c>
      <c r="B6" s="24">
        <v>1</v>
      </c>
      <c r="C6" s="24">
        <v>1</v>
      </c>
      <c r="D6" s="24">
        <v>1</v>
      </c>
      <c r="E6" s="25">
        <v>1</v>
      </c>
      <c r="F6" s="26">
        <v>1</v>
      </c>
      <c r="H6" s="19" t="s">
        <v>25</v>
      </c>
      <c r="I6" s="20" t="s">
        <v>26</v>
      </c>
      <c r="J6" s="20" t="s">
        <v>27</v>
      </c>
      <c r="K6" s="21" t="s">
        <v>28</v>
      </c>
      <c r="M6" s="16"/>
      <c r="N6" s="11"/>
      <c r="Q6" t="s">
        <v>7</v>
      </c>
      <c r="R6">
        <v>0.1</v>
      </c>
      <c r="S6">
        <v>1.3</v>
      </c>
      <c r="X6" t="s">
        <v>7</v>
      </c>
      <c r="Y6">
        <v>0.1</v>
      </c>
      <c r="Z6" s="9">
        <v>0.1</v>
      </c>
      <c r="AA6">
        <v>1</v>
      </c>
    </row>
    <row r="7" spans="1:30" x14ac:dyDescent="0.25">
      <c r="A7" s="18" t="s">
        <v>29</v>
      </c>
      <c r="B7" s="30">
        <v>10</v>
      </c>
      <c r="C7" s="30">
        <v>1</v>
      </c>
      <c r="D7" s="30">
        <v>1</v>
      </c>
      <c r="E7" s="31">
        <v>10</v>
      </c>
      <c r="F7" s="32">
        <v>1</v>
      </c>
      <c r="H7" s="19">
        <v>10</v>
      </c>
      <c r="I7" s="27">
        <f>PRODUCT(B8:D8)</f>
        <v>10</v>
      </c>
      <c r="J7" s="28">
        <f>K7*1/100</f>
        <v>0</v>
      </c>
      <c r="K7" s="29">
        <f>K2/I7</f>
        <v>0</v>
      </c>
      <c r="L7" s="47"/>
      <c r="N7" s="16"/>
      <c r="Q7" t="s">
        <v>29</v>
      </c>
      <c r="R7" s="12">
        <v>10</v>
      </c>
      <c r="S7" s="12">
        <v>12</v>
      </c>
      <c r="U7" t="s">
        <v>30</v>
      </c>
      <c r="X7" t="s">
        <v>29</v>
      </c>
      <c r="Y7" s="12">
        <v>10</v>
      </c>
      <c r="Z7" s="13">
        <v>10</v>
      </c>
      <c r="AA7" s="12">
        <v>1</v>
      </c>
      <c r="AC7" t="s">
        <v>31</v>
      </c>
      <c r="AD7" t="s">
        <v>26</v>
      </c>
    </row>
    <row r="8" spans="1:30" x14ac:dyDescent="0.25">
      <c r="A8" s="18" t="s">
        <v>32</v>
      </c>
      <c r="B8">
        <v>10</v>
      </c>
      <c r="C8">
        <v>1</v>
      </c>
      <c r="D8">
        <v>1</v>
      </c>
      <c r="E8" s="36">
        <v>10</v>
      </c>
      <c r="F8" s="37">
        <v>1</v>
      </c>
      <c r="H8" s="33"/>
      <c r="I8" s="34"/>
      <c r="J8" s="34"/>
      <c r="K8" s="35"/>
      <c r="L8" s="47"/>
      <c r="N8" s="16"/>
      <c r="Q8" t="s">
        <v>32</v>
      </c>
      <c r="R8">
        <f>R7/R6</f>
        <v>100</v>
      </c>
      <c r="S8">
        <f>S7/S6</f>
        <v>9.2307692307692299</v>
      </c>
      <c r="U8">
        <f>PRODUCT(R8:S8)</f>
        <v>923.07692307692298</v>
      </c>
      <c r="X8" t="s">
        <v>32</v>
      </c>
      <c r="Y8">
        <f>Y7/Y6</f>
        <v>100</v>
      </c>
      <c r="Z8" s="17">
        <f t="shared" ref="Z8:AA8" si="1">Z7/Z6</f>
        <v>100</v>
      </c>
      <c r="AA8">
        <f t="shared" si="1"/>
        <v>1</v>
      </c>
      <c r="AC8">
        <f>PRODUCT(Y8)</f>
        <v>100</v>
      </c>
      <c r="AD8">
        <f>PRODUCT(Z8:AA8)</f>
        <v>100</v>
      </c>
    </row>
    <row r="9" spans="1:30" x14ac:dyDescent="0.25">
      <c r="H9" s="38"/>
      <c r="I9" s="39"/>
      <c r="J9" s="39"/>
      <c r="K9" s="40"/>
      <c r="L9" s="47"/>
      <c r="Q9" t="s">
        <v>33</v>
      </c>
      <c r="R9" s="22">
        <f>Q3/U8</f>
        <v>1.0833333333333335</v>
      </c>
      <c r="S9" s="22" t="s">
        <v>22</v>
      </c>
      <c r="X9" s="12" t="s">
        <v>34</v>
      </c>
      <c r="Y9" s="23">
        <f>X3/AC8</f>
        <v>10.02</v>
      </c>
      <c r="Z9" s="23" t="s">
        <v>22</v>
      </c>
    </row>
    <row r="10" spans="1:30" ht="21" x14ac:dyDescent="0.35">
      <c r="A10" s="14" t="s">
        <v>21</v>
      </c>
      <c r="C10" s="44"/>
      <c r="D10" s="44"/>
      <c r="E10" s="15" t="s">
        <v>24</v>
      </c>
      <c r="G10" s="36"/>
      <c r="L10" s="47"/>
      <c r="X10" t="s">
        <v>35</v>
      </c>
      <c r="Y10" s="22">
        <f>Y9/AD8</f>
        <v>0.1002</v>
      </c>
      <c r="Z10" s="22" t="s">
        <v>22</v>
      </c>
    </row>
    <row r="11" spans="1:30" x14ac:dyDescent="0.25">
      <c r="A11" s="18" t="s">
        <v>7</v>
      </c>
      <c r="B11" s="24">
        <v>1.0106999999999999</v>
      </c>
      <c r="C11" s="24">
        <v>1.1157999999999999</v>
      </c>
      <c r="D11" s="24">
        <v>1</v>
      </c>
      <c r="E11" s="25">
        <v>1</v>
      </c>
      <c r="F11" s="26">
        <v>1</v>
      </c>
      <c r="H11" s="19" t="s">
        <v>25</v>
      </c>
      <c r="I11" s="20" t="s">
        <v>26</v>
      </c>
      <c r="J11" s="20" t="s">
        <v>27</v>
      </c>
      <c r="K11" s="21" t="s">
        <v>28</v>
      </c>
    </row>
    <row r="12" spans="1:30" x14ac:dyDescent="0.25">
      <c r="A12" s="18" t="s">
        <v>29</v>
      </c>
      <c r="B12" s="30">
        <v>10.0444</v>
      </c>
      <c r="C12" s="30">
        <v>10.185600000000001</v>
      </c>
      <c r="D12" s="30">
        <v>1</v>
      </c>
      <c r="E12" s="31">
        <v>10</v>
      </c>
      <c r="F12" s="32">
        <v>1</v>
      </c>
      <c r="H12" s="19">
        <v>10</v>
      </c>
      <c r="I12" s="27">
        <f>PRODUCT(B13:D13)</f>
        <v>90.719781081272487</v>
      </c>
      <c r="J12" s="28">
        <f>K12*2/100</f>
        <v>1.1119687874783641</v>
      </c>
      <c r="K12" s="29">
        <f>K3/I12</f>
        <v>55.598439373918211</v>
      </c>
      <c r="Q12" s="41" t="s">
        <v>36</v>
      </c>
      <c r="R12" s="41" t="s">
        <v>37</v>
      </c>
      <c r="S12" s="41" t="s">
        <v>38</v>
      </c>
      <c r="T12" s="41" t="s">
        <v>39</v>
      </c>
      <c r="U12" s="41" t="s">
        <v>40</v>
      </c>
    </row>
    <row r="13" spans="1:30" ht="18.75" x14ac:dyDescent="0.3">
      <c r="A13" s="18" t="s">
        <v>32</v>
      </c>
      <c r="B13">
        <f>B12/B11</f>
        <v>9.9380627288018211</v>
      </c>
      <c r="C13">
        <f>C12/C11</f>
        <v>9.1285176554938179</v>
      </c>
      <c r="D13">
        <f>D12/D11</f>
        <v>1</v>
      </c>
      <c r="E13" s="36">
        <f>E12/E11</f>
        <v>10</v>
      </c>
      <c r="F13" s="37">
        <f>F12/F11</f>
        <v>1</v>
      </c>
      <c r="H13" s="33"/>
      <c r="I13" s="34"/>
      <c r="J13" s="34"/>
      <c r="K13" s="35"/>
      <c r="Q13" s="42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F14" s="36"/>
      <c r="H14" s="38"/>
      <c r="I14" s="39"/>
      <c r="J14" s="39"/>
      <c r="K14" s="40"/>
      <c r="L14" s="47"/>
      <c r="Q14" s="42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Q15" s="42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2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7:21" ht="18.75" x14ac:dyDescent="0.3">
      <c r="Q17" s="43" t="s">
        <v>45</v>
      </c>
      <c r="R17" s="12">
        <v>1.0011000000000001</v>
      </c>
      <c r="S17" s="12">
        <v>2.0381</v>
      </c>
      <c r="T17" s="12">
        <v>7.0076999999999998</v>
      </c>
      <c r="U17" s="12">
        <f t="shared" si="2"/>
        <v>10.046900000000001</v>
      </c>
    </row>
    <row r="18" spans="17:21" ht="18.75" x14ac:dyDescent="0.3">
      <c r="Q18" s="42" t="s">
        <v>46</v>
      </c>
      <c r="R18">
        <v>1.0250999999999999</v>
      </c>
      <c r="S18">
        <v>0</v>
      </c>
      <c r="T18">
        <v>9.0155999999999992</v>
      </c>
      <c r="U18">
        <f t="shared" si="2"/>
        <v>10.040699999999999</v>
      </c>
    </row>
    <row r="19" spans="17:21" ht="18.75" x14ac:dyDescent="0.3">
      <c r="Q19" s="42" t="s">
        <v>47</v>
      </c>
      <c r="R19">
        <v>1.0221</v>
      </c>
      <c r="S19">
        <v>0.5464</v>
      </c>
      <c r="T19">
        <v>8.5053999999999998</v>
      </c>
      <c r="U19">
        <f t="shared" si="2"/>
        <v>10.0739</v>
      </c>
    </row>
    <row r="20" spans="17:21" ht="18.75" x14ac:dyDescent="0.3">
      <c r="Q20" s="42" t="s">
        <v>48</v>
      </c>
      <c r="R20">
        <v>1.0206999999999999</v>
      </c>
      <c r="S20">
        <v>1.0825</v>
      </c>
      <c r="T20">
        <v>8.0268999999999995</v>
      </c>
      <c r="U20">
        <f t="shared" si="2"/>
        <v>10.130099999999999</v>
      </c>
    </row>
    <row r="21" spans="17:21" ht="18.75" x14ac:dyDescent="0.3">
      <c r="Q21" s="42" t="s">
        <v>49</v>
      </c>
      <c r="R21">
        <v>1.0227999999999999</v>
      </c>
      <c r="S21">
        <v>1.5497000000000001</v>
      </c>
      <c r="T21">
        <v>7.5229999999999997</v>
      </c>
      <c r="U21">
        <f t="shared" si="2"/>
        <v>10.095499999999999</v>
      </c>
    </row>
    <row r="22" spans="17:21" ht="18.75" x14ac:dyDescent="0.3">
      <c r="Q22" s="45" t="s">
        <v>50</v>
      </c>
      <c r="R22" s="12">
        <v>1.022</v>
      </c>
      <c r="S22" s="12">
        <v>2.0123000000000002</v>
      </c>
      <c r="T22" s="12">
        <v>7.0212000000000003</v>
      </c>
      <c r="U22" s="12">
        <f t="shared" si="2"/>
        <v>10.0555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H5" sqref="H5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2" t="s">
        <v>46</v>
      </c>
      <c r="D2">
        <v>3508</v>
      </c>
      <c r="E2">
        <f ca="1">RAND()</f>
        <v>0.19703798572340281</v>
      </c>
    </row>
    <row r="3" spans="1:5" ht="18.75" x14ac:dyDescent="0.3">
      <c r="A3" t="s">
        <v>7</v>
      </c>
      <c r="B3" s="42" t="s">
        <v>48</v>
      </c>
      <c r="D3">
        <v>3510</v>
      </c>
      <c r="E3">
        <f ca="1">RAND()</f>
        <v>0.29410444409032743</v>
      </c>
    </row>
    <row r="4" spans="1:5" ht="18.75" x14ac:dyDescent="0.3">
      <c r="A4" t="s">
        <v>7</v>
      </c>
      <c r="B4" s="42" t="s">
        <v>47</v>
      </c>
      <c r="D4">
        <v>3509</v>
      </c>
      <c r="E4">
        <f ca="1">RAND()</f>
        <v>0.30055468166799737</v>
      </c>
    </row>
    <row r="5" spans="1:5" ht="18.75" x14ac:dyDescent="0.3">
      <c r="A5" t="s">
        <v>7</v>
      </c>
      <c r="B5" s="42" t="s">
        <v>50</v>
      </c>
      <c r="D5">
        <v>3512</v>
      </c>
      <c r="E5">
        <f ca="1">RAND()</f>
        <v>0.6250937474290299</v>
      </c>
    </row>
    <row r="6" spans="1:5" ht="18.75" x14ac:dyDescent="0.3">
      <c r="A6" t="s">
        <v>7</v>
      </c>
      <c r="B6" s="45" t="s">
        <v>49</v>
      </c>
      <c r="D6">
        <v>3511</v>
      </c>
      <c r="E6">
        <f ca="1">RAND()</f>
        <v>0.5513841552100881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:M10"/>
    </sheetView>
  </sheetViews>
  <sheetFormatPr defaultRowHeight="15" x14ac:dyDescent="0.25"/>
  <sheetData>
    <row r="1" spans="1:21" x14ac:dyDescent="0.25">
      <c r="A1" s="49" t="s">
        <v>7</v>
      </c>
      <c r="B1" s="49"/>
      <c r="C1" s="49"/>
      <c r="D1" s="49"/>
      <c r="E1" s="49"/>
      <c r="F1" s="49"/>
      <c r="G1" s="49"/>
      <c r="H1" s="49" t="s">
        <v>56</v>
      </c>
      <c r="I1" s="49"/>
      <c r="J1" s="49" t="s">
        <v>57</v>
      </c>
      <c r="K1" s="49"/>
      <c r="L1" s="49" t="s">
        <v>58</v>
      </c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/>
      <c r="B2" s="49" t="s">
        <v>59</v>
      </c>
      <c r="C2" s="49" t="s">
        <v>60</v>
      </c>
      <c r="D2" s="49" t="s">
        <v>61</v>
      </c>
      <c r="E2" s="49" t="s">
        <v>62</v>
      </c>
      <c r="F2" s="49" t="s">
        <v>63</v>
      </c>
      <c r="G2" s="49" t="s">
        <v>1</v>
      </c>
      <c r="H2" s="49" t="s">
        <v>64</v>
      </c>
      <c r="I2" s="49" t="s">
        <v>65</v>
      </c>
      <c r="J2" s="49" t="s">
        <v>64</v>
      </c>
      <c r="K2" s="49" t="s">
        <v>65</v>
      </c>
      <c r="L2" s="49" t="s">
        <v>64</v>
      </c>
      <c r="M2" s="49" t="s">
        <v>65</v>
      </c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49"/>
      <c r="B3" s="49" t="b">
        <v>0</v>
      </c>
      <c r="C3" s="49" t="s">
        <v>66</v>
      </c>
      <c r="D3" s="49" t="s">
        <v>67</v>
      </c>
      <c r="E3" s="49" t="s">
        <v>7</v>
      </c>
      <c r="F3" s="49"/>
      <c r="G3" s="49" t="s">
        <v>68</v>
      </c>
      <c r="H3" s="49">
        <v>26.69</v>
      </c>
      <c r="I3" s="49">
        <v>57.3</v>
      </c>
      <c r="J3" s="49">
        <v>23.36</v>
      </c>
      <c r="K3" s="49">
        <v>24.7</v>
      </c>
      <c r="L3" s="49">
        <v>56.73</v>
      </c>
      <c r="M3" s="49">
        <v>36.700000000000003</v>
      </c>
      <c r="N3" s="49"/>
      <c r="O3" s="49"/>
      <c r="P3" s="49"/>
      <c r="Q3" s="49"/>
      <c r="R3" s="49"/>
      <c r="S3" s="49"/>
      <c r="T3" s="49"/>
      <c r="U3" s="49"/>
    </row>
    <row r="4" spans="1:21" x14ac:dyDescent="0.25">
      <c r="A4" s="49"/>
      <c r="B4" s="49" t="b">
        <v>0</v>
      </c>
      <c r="C4" s="49" t="s">
        <v>69</v>
      </c>
      <c r="D4" s="49" t="s">
        <v>67</v>
      </c>
      <c r="E4" s="49" t="s">
        <v>7</v>
      </c>
      <c r="F4" s="49"/>
      <c r="G4" s="49" t="s">
        <v>46</v>
      </c>
      <c r="H4" s="49">
        <v>884063.1</v>
      </c>
      <c r="I4" s="49">
        <v>1.2</v>
      </c>
      <c r="J4" s="49">
        <v>682603.5</v>
      </c>
      <c r="K4" s="49">
        <v>1.3</v>
      </c>
      <c r="L4" s="49">
        <v>1766748</v>
      </c>
      <c r="M4" s="49">
        <v>1</v>
      </c>
      <c r="N4" s="49"/>
      <c r="O4" s="49"/>
      <c r="P4" s="49"/>
      <c r="Q4" s="49"/>
      <c r="R4" s="49"/>
      <c r="S4" s="49"/>
      <c r="T4" s="49"/>
      <c r="U4" s="49"/>
    </row>
    <row r="5" spans="1:21" x14ac:dyDescent="0.25">
      <c r="A5" s="49"/>
      <c r="B5" s="49" t="b">
        <v>0</v>
      </c>
      <c r="C5" s="49" t="s">
        <v>70</v>
      </c>
      <c r="D5" s="49" t="s">
        <v>67</v>
      </c>
      <c r="E5" s="49" t="s">
        <v>7</v>
      </c>
      <c r="F5" s="49"/>
      <c r="G5" s="49" t="s">
        <v>48</v>
      </c>
      <c r="H5" s="49">
        <v>1399395</v>
      </c>
      <c r="I5" s="49">
        <v>1.2</v>
      </c>
      <c r="J5" s="49">
        <v>1070398</v>
      </c>
      <c r="K5" s="49">
        <v>0.8</v>
      </c>
      <c r="L5" s="49">
        <v>2810746</v>
      </c>
      <c r="M5" s="49">
        <v>1</v>
      </c>
      <c r="N5" s="49"/>
      <c r="O5" s="49"/>
      <c r="P5" s="49"/>
      <c r="Q5" s="49"/>
      <c r="R5" s="49"/>
      <c r="S5" s="49"/>
      <c r="T5" s="49"/>
      <c r="U5" s="49"/>
    </row>
    <row r="6" spans="1:21" x14ac:dyDescent="0.25">
      <c r="A6" s="49"/>
      <c r="B6" s="49" t="b">
        <v>0</v>
      </c>
      <c r="C6" s="49" t="s">
        <v>71</v>
      </c>
      <c r="D6" s="49" t="s">
        <v>67</v>
      </c>
      <c r="E6" s="49" t="s">
        <v>7</v>
      </c>
      <c r="F6" s="49"/>
      <c r="G6" s="49" t="s">
        <v>47</v>
      </c>
      <c r="H6" s="49">
        <v>1216144</v>
      </c>
      <c r="I6" s="49">
        <v>1.4</v>
      </c>
      <c r="J6" s="49">
        <v>938529.5</v>
      </c>
      <c r="K6" s="49">
        <v>1.2</v>
      </c>
      <c r="L6" s="49">
        <v>2444881</v>
      </c>
      <c r="M6" s="49">
        <v>1.5</v>
      </c>
      <c r="N6" s="49"/>
      <c r="O6" s="49"/>
      <c r="P6" s="49"/>
      <c r="Q6" s="49"/>
      <c r="R6" s="49"/>
      <c r="S6" s="49"/>
      <c r="T6" s="49"/>
      <c r="U6" s="49"/>
    </row>
    <row r="7" spans="1:21" x14ac:dyDescent="0.25">
      <c r="A7" s="49"/>
      <c r="B7" s="49" t="b">
        <v>0</v>
      </c>
      <c r="C7" s="49" t="s">
        <v>72</v>
      </c>
      <c r="D7" s="49" t="s">
        <v>67</v>
      </c>
      <c r="E7" s="49" t="s">
        <v>7</v>
      </c>
      <c r="F7" s="49"/>
      <c r="G7" s="49" t="s">
        <v>50</v>
      </c>
      <c r="H7" s="49">
        <v>2171040</v>
      </c>
      <c r="I7" s="49">
        <v>0.7</v>
      </c>
      <c r="J7" s="49">
        <v>1657035</v>
      </c>
      <c r="K7" s="49">
        <v>0.2</v>
      </c>
      <c r="L7" s="49">
        <v>4329143</v>
      </c>
      <c r="M7" s="49">
        <v>0.5</v>
      </c>
      <c r="N7" s="49"/>
      <c r="O7" s="49"/>
      <c r="P7" s="49"/>
      <c r="Q7" s="49"/>
      <c r="R7" s="49"/>
      <c r="S7" s="49"/>
      <c r="T7" s="49"/>
      <c r="U7" s="49"/>
    </row>
    <row r="8" spans="1:21" x14ac:dyDescent="0.25">
      <c r="A8" s="49"/>
      <c r="B8" s="49" t="b">
        <v>0</v>
      </c>
      <c r="C8" s="49" t="s">
        <v>73</v>
      </c>
      <c r="D8" s="49" t="s">
        <v>67</v>
      </c>
      <c r="E8" s="49" t="s">
        <v>7</v>
      </c>
      <c r="F8" s="49"/>
      <c r="G8" s="49" t="s">
        <v>49</v>
      </c>
      <c r="H8" s="49">
        <v>1781452</v>
      </c>
      <c r="I8" s="49">
        <v>0.4</v>
      </c>
      <c r="J8" s="49">
        <v>1363775</v>
      </c>
      <c r="K8" s="49">
        <v>0.5</v>
      </c>
      <c r="L8" s="49">
        <v>3558667</v>
      </c>
      <c r="M8" s="49">
        <v>0.2</v>
      </c>
      <c r="N8" s="49"/>
      <c r="O8" s="49"/>
      <c r="P8" s="49"/>
      <c r="Q8" s="49"/>
      <c r="R8" s="49"/>
      <c r="S8" s="49"/>
      <c r="T8" s="49"/>
      <c r="U8" s="49"/>
    </row>
    <row r="9" spans="1:21" x14ac:dyDescent="0.25">
      <c r="A9" s="49"/>
      <c r="B9" s="49" t="b">
        <v>0</v>
      </c>
      <c r="C9" s="49" t="s">
        <v>74</v>
      </c>
      <c r="D9" s="49" t="s">
        <v>67</v>
      </c>
      <c r="E9" s="49" t="s">
        <v>7</v>
      </c>
      <c r="F9" s="49"/>
      <c r="G9" s="49" t="s">
        <v>68</v>
      </c>
      <c r="H9" s="49">
        <v>53.39</v>
      </c>
      <c r="I9" s="49">
        <v>57.3</v>
      </c>
      <c r="J9" s="49">
        <v>30.03</v>
      </c>
      <c r="K9" s="49">
        <v>0</v>
      </c>
      <c r="L9" s="49">
        <v>96.77</v>
      </c>
      <c r="M9" s="49">
        <v>33.299999999999997</v>
      </c>
      <c r="N9" s="49"/>
      <c r="O9" s="49"/>
      <c r="P9" s="49"/>
      <c r="Q9" s="49"/>
      <c r="R9" s="49"/>
      <c r="S9" s="49"/>
      <c r="T9" s="49"/>
      <c r="U9" s="49"/>
    </row>
    <row r="10" spans="1:21" x14ac:dyDescent="0.25">
      <c r="A10" s="49"/>
      <c r="B10" s="49" t="b">
        <v>0</v>
      </c>
      <c r="C10" s="49" t="s">
        <v>75</v>
      </c>
      <c r="D10" s="49" t="s">
        <v>67</v>
      </c>
      <c r="E10" s="49" t="s">
        <v>7</v>
      </c>
      <c r="F10" s="49"/>
      <c r="G10" s="49" t="s">
        <v>68</v>
      </c>
      <c r="H10" s="49">
        <v>16.68</v>
      </c>
      <c r="I10" s="49">
        <v>34.6</v>
      </c>
      <c r="J10" s="49">
        <v>23.36</v>
      </c>
      <c r="K10" s="49">
        <v>24.7</v>
      </c>
      <c r="L10" s="49">
        <v>56.73</v>
      </c>
      <c r="M10" s="49">
        <v>56.7</v>
      </c>
      <c r="N10" s="49"/>
      <c r="O10" s="49"/>
      <c r="P10" s="49"/>
      <c r="Q10" s="49"/>
      <c r="R10" s="49"/>
      <c r="S10" s="49"/>
      <c r="T10" s="49"/>
      <c r="U10" s="49"/>
    </row>
    <row r="11" spans="1:2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</row>
    <row r="12" spans="1:2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</row>
    <row r="13" spans="1:2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</row>
    <row r="14" spans="1:2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 spans="1:2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</row>
    <row r="16" spans="1:2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1:2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</row>
    <row r="18" spans="1:2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</row>
    <row r="19" spans="1:2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</row>
    <row r="20" spans="1:2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1:2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</row>
    <row r="22" spans="1:2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</row>
    <row r="23" spans="1:2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 spans="1:2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</row>
    <row r="26" spans="1:2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</row>
    <row r="27" spans="1:2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</row>
    <row r="28" spans="1:2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 spans="1:2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T37"/>
  <sheetViews>
    <sheetView tabSelected="1" topLeftCell="C8" workbookViewId="0">
      <selection activeCell="E33" sqref="E33"/>
    </sheetView>
  </sheetViews>
  <sheetFormatPr defaultRowHeight="15" x14ac:dyDescent="0.25"/>
  <cols>
    <col min="1" max="1" width="11" bestFit="1" customWidth="1"/>
    <col min="2" max="2" width="10.28515625" bestFit="1" customWidth="1"/>
    <col min="3" max="3" width="12.28515625" bestFit="1" customWidth="1"/>
    <col min="4" max="4" width="22.5703125" bestFit="1" customWidth="1"/>
    <col min="5" max="5" width="16.7109375" bestFit="1" customWidth="1"/>
    <col min="6" max="6" width="11.5703125" bestFit="1" customWidth="1"/>
    <col min="7" max="7" width="13" bestFit="1" customWidth="1"/>
    <col min="8" max="8" width="16" bestFit="1" customWidth="1"/>
    <col min="9" max="9" width="14.5703125" bestFit="1" customWidth="1"/>
    <col min="10" max="10" width="16" bestFit="1" customWidth="1"/>
    <col min="11" max="11" width="13.7109375" bestFit="1" customWidth="1"/>
    <col min="12" max="12" width="12.5703125" bestFit="1" customWidth="1"/>
    <col min="13" max="13" width="13.71093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20" x14ac:dyDescent="0.25">
      <c r="A1" s="49"/>
      <c r="B1" s="50"/>
      <c r="C1" s="50"/>
      <c r="D1" s="49" t="s">
        <v>56</v>
      </c>
      <c r="E1" s="49" t="s">
        <v>57</v>
      </c>
      <c r="F1" s="49" t="s">
        <v>58</v>
      </c>
      <c r="H1" s="50"/>
      <c r="I1" s="51" t="s">
        <v>56</v>
      </c>
      <c r="J1" s="50"/>
      <c r="K1" s="51" t="s">
        <v>57</v>
      </c>
      <c r="L1" s="50"/>
      <c r="M1" s="52" t="s">
        <v>58</v>
      </c>
      <c r="N1" s="50"/>
      <c r="O1" s="50"/>
      <c r="P1" s="50"/>
      <c r="Q1" s="50"/>
      <c r="R1" s="50"/>
      <c r="S1" s="50"/>
      <c r="T1" s="50"/>
    </row>
    <row r="2" spans="1:20" x14ac:dyDescent="0.25">
      <c r="A2" s="53" t="s">
        <v>76</v>
      </c>
      <c r="B2" s="54" t="s">
        <v>7</v>
      </c>
      <c r="C2" s="54" t="s">
        <v>77</v>
      </c>
      <c r="D2" s="53" t="s">
        <v>64</v>
      </c>
      <c r="E2" s="53" t="s">
        <v>78</v>
      </c>
      <c r="F2" s="53" t="s">
        <v>79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5" t="s">
        <v>80</v>
      </c>
    </row>
    <row r="3" spans="1:20" x14ac:dyDescent="0.25">
      <c r="A3" s="56" t="s">
        <v>46</v>
      </c>
      <c r="B3" s="57">
        <v>1.0250999999999999</v>
      </c>
      <c r="C3" s="57">
        <v>0</v>
      </c>
      <c r="D3" s="56">
        <v>884063.1</v>
      </c>
      <c r="E3" s="56">
        <v>682603.5</v>
      </c>
      <c r="F3" s="56">
        <v>1766748</v>
      </c>
      <c r="H3" s="50" t="s">
        <v>81</v>
      </c>
      <c r="I3">
        <f>INTERCEPT(D3:D7,$C$3:$C$7)</f>
        <v>845815.71049204539</v>
      </c>
      <c r="K3">
        <f>INTERCEPT(E3:E7,$C$3:$C$7)</f>
        <v>654997.72804889106</v>
      </c>
      <c r="M3">
        <f>INTERCEPT(F3:F7,$C$3:$C$7)</f>
        <v>1700621.3688373691</v>
      </c>
      <c r="N3" s="50"/>
      <c r="O3" s="50"/>
      <c r="P3" t="s">
        <v>82</v>
      </c>
      <c r="Q3">
        <f>AVERAGE(B3:B7)</f>
        <v>1.02254</v>
      </c>
      <c r="S3" t="s">
        <v>83</v>
      </c>
      <c r="T3">
        <f>Prep!R9</f>
        <v>1.0833333333333335</v>
      </c>
    </row>
    <row r="4" spans="1:20" x14ac:dyDescent="0.25">
      <c r="A4" s="49" t="s">
        <v>47</v>
      </c>
      <c r="B4" s="50">
        <v>1.0221</v>
      </c>
      <c r="C4" s="50">
        <v>0.5464</v>
      </c>
      <c r="D4" s="49">
        <v>1216144</v>
      </c>
      <c r="E4" s="49">
        <v>938529.5</v>
      </c>
      <c r="F4" s="49">
        <v>2444881</v>
      </c>
      <c r="H4" s="50" t="s">
        <v>84</v>
      </c>
      <c r="I4">
        <f>SLOPE(D3:D7,$C$3:$C$7)</f>
        <v>620897.25241090602</v>
      </c>
      <c r="K4">
        <f>SLOPE(E3:E7,$C$3:$C$7)</f>
        <v>469543.30843505834</v>
      </c>
      <c r="M4">
        <f>SLOPE(F3:F7,$C$3:$C$7)</f>
        <v>1234290.4228193865</v>
      </c>
      <c r="N4" s="50"/>
      <c r="O4" s="50"/>
      <c r="P4" s="50"/>
      <c r="Q4" s="50"/>
      <c r="R4" s="50"/>
      <c r="S4" s="50"/>
      <c r="T4" s="50"/>
    </row>
    <row r="5" spans="1:20" x14ac:dyDescent="0.25">
      <c r="A5" s="56" t="s">
        <v>48</v>
      </c>
      <c r="B5" s="57">
        <v>1.0206999999999999</v>
      </c>
      <c r="C5" s="57">
        <v>1.0825</v>
      </c>
      <c r="D5" s="56">
        <v>1399395</v>
      </c>
      <c r="E5" s="56">
        <v>1070398</v>
      </c>
      <c r="F5" s="56">
        <v>2810746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spans="1:20" x14ac:dyDescent="0.25">
      <c r="A6" s="49" t="s">
        <v>49</v>
      </c>
      <c r="B6" s="50">
        <v>1.0227999999999999</v>
      </c>
      <c r="C6" s="50">
        <v>1.5497000000000001</v>
      </c>
      <c r="D6" s="49">
        <v>1781452</v>
      </c>
      <c r="E6" s="49">
        <v>1363775</v>
      </c>
      <c r="F6" s="49">
        <v>3558667</v>
      </c>
      <c r="H6" s="58" t="s">
        <v>85</v>
      </c>
      <c r="I6" s="58">
        <f>I3*$T$3/(I4*Q3)</f>
        <v>1.4432375175720953</v>
      </c>
      <c r="J6" s="58"/>
      <c r="K6" s="58">
        <f>K3*$T$3/(K4*$Q$3)</f>
        <v>1.4779030257527037</v>
      </c>
      <c r="L6" s="58"/>
      <c r="M6" s="58">
        <f>M3*$T$3/(M4*$Q$3)</f>
        <v>1.4597284518264997</v>
      </c>
      <c r="N6" s="58"/>
      <c r="O6" s="50"/>
      <c r="P6" s="50"/>
      <c r="Q6" s="50"/>
      <c r="R6" s="50"/>
      <c r="S6" s="50"/>
      <c r="T6" s="50"/>
    </row>
    <row r="7" spans="1:20" x14ac:dyDescent="0.25">
      <c r="A7" s="59" t="s">
        <v>50</v>
      </c>
      <c r="B7" s="60">
        <v>1.022</v>
      </c>
      <c r="C7" s="60">
        <v>2.0123000000000002</v>
      </c>
      <c r="D7" s="61">
        <v>2171040</v>
      </c>
      <c r="E7" s="61">
        <v>1657035</v>
      </c>
      <c r="F7" s="62">
        <v>4329143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x14ac:dyDescent="0.25">
      <c r="H8" s="50"/>
      <c r="I8" s="50"/>
      <c r="J8" s="50"/>
      <c r="K8" s="49"/>
      <c r="L8" s="49"/>
      <c r="M8" s="49"/>
      <c r="N8" s="49"/>
      <c r="O8" s="50"/>
      <c r="P8" s="50"/>
      <c r="Q8" s="50"/>
      <c r="R8" s="50"/>
      <c r="S8" s="50"/>
      <c r="T8" s="50"/>
    </row>
    <row r="9" spans="1:20" x14ac:dyDescent="0.25">
      <c r="A9" t="s">
        <v>7</v>
      </c>
      <c r="B9" s="49" t="s">
        <v>56</v>
      </c>
      <c r="C9" s="49" t="s">
        <v>57</v>
      </c>
      <c r="D9" s="49" t="s">
        <v>58</v>
      </c>
      <c r="E9" s="50" t="s">
        <v>86</v>
      </c>
      <c r="F9" s="50">
        <v>147</v>
      </c>
      <c r="G9" s="50">
        <v>148</v>
      </c>
      <c r="H9" s="50">
        <v>152</v>
      </c>
      <c r="I9" s="50" t="s">
        <v>87</v>
      </c>
      <c r="J9" s="63" t="s">
        <v>88</v>
      </c>
      <c r="K9" s="63" t="s">
        <v>89</v>
      </c>
      <c r="L9" s="63" t="s">
        <v>90</v>
      </c>
      <c r="M9" s="49"/>
      <c r="N9" s="49"/>
    </row>
    <row r="10" spans="1:20" x14ac:dyDescent="0.25">
      <c r="A10" t="s">
        <v>91</v>
      </c>
      <c r="B10" s="50">
        <f>I6</f>
        <v>1.4432375175720953</v>
      </c>
      <c r="C10" s="64">
        <f>K6</f>
        <v>1.4779030257527037</v>
      </c>
      <c r="D10" s="64">
        <f>M6</f>
        <v>1.4597284518264997</v>
      </c>
      <c r="E10" s="65">
        <f>Prep!I12</f>
        <v>90.719781081272487</v>
      </c>
      <c r="F10">
        <f>B10*E10</f>
        <v>130.93019164241963</v>
      </c>
      <c r="G10">
        <f>C10*E10</f>
        <v>134.07503895563551</v>
      </c>
      <c r="H10">
        <f>D10*$E10</f>
        <v>132.42624558780486</v>
      </c>
      <c r="I10">
        <f>Prep!K3</f>
        <v>5043.8782484622607</v>
      </c>
      <c r="J10">
        <f>(F10/$I10)*100</f>
        <v>2.5958237925813661</v>
      </c>
      <c r="K10">
        <f>(G10/$I10)*100</f>
        <v>2.6581735789620078</v>
      </c>
      <c r="L10">
        <f>(H10/$I10)*100</f>
        <v>2.6254845788194423</v>
      </c>
      <c r="M10" s="49"/>
      <c r="N10" s="49"/>
    </row>
    <row r="11" spans="1:20" x14ac:dyDescent="0.25">
      <c r="M11" s="49"/>
      <c r="N11" s="49"/>
    </row>
    <row r="13" spans="1:20" x14ac:dyDescent="0.25">
      <c r="A13" s="17"/>
      <c r="B13" s="66"/>
      <c r="C13" s="66"/>
      <c r="D13" s="66"/>
      <c r="E13" s="85" t="s">
        <v>92</v>
      </c>
      <c r="F13" s="85"/>
      <c r="G13" s="85"/>
      <c r="H13" s="85" t="s">
        <v>93</v>
      </c>
      <c r="I13" s="85"/>
      <c r="J13" s="85"/>
      <c r="K13" s="85" t="s">
        <v>94</v>
      </c>
      <c r="L13" s="85"/>
      <c r="M13" s="85"/>
    </row>
    <row r="14" spans="1:20" x14ac:dyDescent="0.25">
      <c r="A14" s="13" t="s">
        <v>95</v>
      </c>
      <c r="B14" s="12" t="s">
        <v>96</v>
      </c>
      <c r="C14" s="12" t="s">
        <v>97</v>
      </c>
      <c r="D14" s="12" t="s">
        <v>110</v>
      </c>
      <c r="E14" s="67" t="s">
        <v>98</v>
      </c>
      <c r="F14" s="67" t="s">
        <v>99</v>
      </c>
      <c r="G14" s="67" t="s">
        <v>100</v>
      </c>
      <c r="H14" s="67" t="s">
        <v>98</v>
      </c>
      <c r="I14" s="67" t="s">
        <v>99</v>
      </c>
      <c r="J14" s="67" t="s">
        <v>100</v>
      </c>
      <c r="K14" s="67" t="s">
        <v>98</v>
      </c>
      <c r="L14" s="67" t="s">
        <v>99</v>
      </c>
      <c r="M14" s="68" t="s">
        <v>100</v>
      </c>
    </row>
    <row r="15" spans="1:20" x14ac:dyDescent="0.25">
      <c r="A15" s="9" t="s">
        <v>101</v>
      </c>
      <c r="D15">
        <v>-1000</v>
      </c>
      <c r="F15">
        <f>$F$22*D15+$F$21</f>
        <v>-584972150.2286061</v>
      </c>
      <c r="I15">
        <f>$I$22*D15+$I$21</f>
        <v>-442357905.77573389</v>
      </c>
      <c r="L15">
        <f>$L$22*D15+$L$21</f>
        <v>-1162860881.177438</v>
      </c>
      <c r="M15" s="69"/>
    </row>
    <row r="16" spans="1:20" x14ac:dyDescent="0.25">
      <c r="A16" s="70" t="s">
        <v>102</v>
      </c>
      <c r="B16" s="71">
        <f t="shared" ref="B16:C20" si="0">B3</f>
        <v>1.0250999999999999</v>
      </c>
      <c r="C16" s="71">
        <f t="shared" si="0"/>
        <v>0</v>
      </c>
      <c r="D16" s="71">
        <f>C16*$T$3/B16</f>
        <v>0</v>
      </c>
      <c r="E16" s="71">
        <f>D3</f>
        <v>884063.1</v>
      </c>
      <c r="F16" s="71">
        <f t="shared" ref="F16:F20" si="1">$F$22*D16+$F$21</f>
        <v>845721.3708845356</v>
      </c>
      <c r="G16" s="71">
        <f>E16-F16</f>
        <v>38341.729115464375</v>
      </c>
      <c r="H16" s="71">
        <f>E3</f>
        <v>682603.5</v>
      </c>
      <c r="I16" s="71">
        <f t="shared" ref="I16:I20" si="2">$I$22*D16+$I$21</f>
        <v>654928.87947289017</v>
      </c>
      <c r="J16" s="71">
        <f>H16-I16</f>
        <v>27674.62052710983</v>
      </c>
      <c r="K16" s="71">
        <f>F3</f>
        <v>1766748</v>
      </c>
      <c r="L16" s="71">
        <f t="shared" ref="L16:L20" si="3">$L$22*D16+$L$21</f>
        <v>1700427.5699063251</v>
      </c>
      <c r="M16" s="72">
        <f>K16-L16</f>
        <v>66320.43009367492</v>
      </c>
    </row>
    <row r="17" spans="1:13" x14ac:dyDescent="0.25">
      <c r="A17" s="73" t="s">
        <v>103</v>
      </c>
      <c r="B17" s="74">
        <f t="shared" si="0"/>
        <v>1.0221</v>
      </c>
      <c r="C17" s="74">
        <f t="shared" si="0"/>
        <v>0.5464</v>
      </c>
      <c r="D17" s="74">
        <f>C17*$T$3/B17</f>
        <v>0.57913446172911986</v>
      </c>
      <c r="E17" s="74">
        <f t="shared" ref="E17:E20" si="4">D4</f>
        <v>1216144</v>
      </c>
      <c r="F17" s="74">
        <f t="shared" si="1"/>
        <v>1184988.6886246053</v>
      </c>
      <c r="G17" s="74">
        <f t="shared" ref="G17:G20" si="5">E17-F17</f>
        <v>31155.311375394696</v>
      </c>
      <c r="H17" s="74">
        <f t="shared" ref="H17:H20" si="6">E4</f>
        <v>938529.5</v>
      </c>
      <c r="I17" s="74">
        <f t="shared" si="2"/>
        <v>911492.87901002495</v>
      </c>
      <c r="J17" s="74">
        <f t="shared" ref="J17:J20" si="7">H17-I17</f>
        <v>27036.620989975054</v>
      </c>
      <c r="K17" s="74">
        <f t="shared" ref="K17:K20" si="8">F4</f>
        <v>2444881</v>
      </c>
      <c r="L17" s="74">
        <f t="shared" si="3"/>
        <v>2374865.1565982774</v>
      </c>
      <c r="M17" s="75">
        <f t="shared" ref="M17:M20" si="9">K17-L17</f>
        <v>70015.84340172261</v>
      </c>
    </row>
    <row r="18" spans="1:13" x14ac:dyDescent="0.25">
      <c r="A18" s="70" t="s">
        <v>104</v>
      </c>
      <c r="B18" s="71">
        <f t="shared" si="0"/>
        <v>1.0206999999999999</v>
      </c>
      <c r="C18" s="71">
        <f t="shared" si="0"/>
        <v>1.0825</v>
      </c>
      <c r="D18" s="71">
        <f t="shared" ref="D18:D19" si="10">C18*$T$3/B18</f>
        <v>1.1489255739525164</v>
      </c>
      <c r="E18" s="71">
        <f t="shared" si="4"/>
        <v>1399395</v>
      </c>
      <c r="F18" s="71">
        <f t="shared" si="1"/>
        <v>1518782.5052436218</v>
      </c>
      <c r="G18" s="71">
        <f t="shared" si="5"/>
        <v>-119387.50524362177</v>
      </c>
      <c r="H18" s="71">
        <f t="shared" si="6"/>
        <v>1070398</v>
      </c>
      <c r="I18" s="71">
        <f t="shared" si="2"/>
        <v>1163917.6547974548</v>
      </c>
      <c r="J18" s="71">
        <f t="shared" si="7"/>
        <v>-93519.65479745483</v>
      </c>
      <c r="K18" s="71">
        <f t="shared" si="8"/>
        <v>2810746</v>
      </c>
      <c r="L18" s="71">
        <f t="shared" si="3"/>
        <v>3038421.8399617611</v>
      </c>
      <c r="M18" s="72">
        <f t="shared" si="9"/>
        <v>-227675.83996176114</v>
      </c>
    </row>
    <row r="19" spans="1:13" x14ac:dyDescent="0.25">
      <c r="A19" s="73" t="s">
        <v>105</v>
      </c>
      <c r="B19" s="74">
        <f t="shared" si="0"/>
        <v>1.0227999999999999</v>
      </c>
      <c r="C19" s="74">
        <f t="shared" si="0"/>
        <v>1.5497000000000001</v>
      </c>
      <c r="D19" s="74">
        <f t="shared" si="10"/>
        <v>1.6414173510624435</v>
      </c>
      <c r="E19" s="74">
        <f t="shared" si="4"/>
        <v>1781452</v>
      </c>
      <c r="F19" s="74">
        <f t="shared" si="1"/>
        <v>1807292.9898904101</v>
      </c>
      <c r="G19" s="74">
        <f t="shared" si="5"/>
        <v>-25840.989890410099</v>
      </c>
      <c r="H19" s="74">
        <f>E6</f>
        <v>1363775</v>
      </c>
      <c r="I19" s="74">
        <f t="shared" si="2"/>
        <v>1382097.8330193041</v>
      </c>
      <c r="J19" s="74">
        <f t="shared" si="7"/>
        <v>-18322.833019304089</v>
      </c>
      <c r="K19" s="74">
        <f t="shared" si="8"/>
        <v>3558667</v>
      </c>
      <c r="L19" s="74">
        <f t="shared" si="3"/>
        <v>3611958.7084602034</v>
      </c>
      <c r="M19" s="75">
        <f t="shared" si="9"/>
        <v>-53291.708460203372</v>
      </c>
    </row>
    <row r="20" spans="1:13" x14ac:dyDescent="0.25">
      <c r="A20" s="76" t="s">
        <v>106</v>
      </c>
      <c r="B20" s="77">
        <f>B7</f>
        <v>1.022</v>
      </c>
      <c r="C20" s="77">
        <f t="shared" si="0"/>
        <v>2.0123000000000002</v>
      </c>
      <c r="D20" s="77">
        <f>C20*$T$3/B20</f>
        <v>2.1330642530985</v>
      </c>
      <c r="E20" s="77">
        <f t="shared" si="4"/>
        <v>2171040</v>
      </c>
      <c r="F20" s="77">
        <f t="shared" si="1"/>
        <v>2095308.5316196561</v>
      </c>
      <c r="G20" s="77">
        <f t="shared" si="5"/>
        <v>75731.468380343867</v>
      </c>
      <c r="H20" s="77">
        <f t="shared" si="6"/>
        <v>1657035</v>
      </c>
      <c r="I20" s="77">
        <f t="shared" si="2"/>
        <v>1599903.7207397483</v>
      </c>
      <c r="J20" s="77">
        <f t="shared" si="7"/>
        <v>57131.279260251671</v>
      </c>
      <c r="K20" s="77">
        <f t="shared" si="8"/>
        <v>4329143</v>
      </c>
      <c r="L20" s="77">
        <f t="shared" si="3"/>
        <v>4184511.6681368905</v>
      </c>
      <c r="M20" s="78">
        <f t="shared" si="9"/>
        <v>144631.33186310949</v>
      </c>
    </row>
    <row r="21" spans="1:13" x14ac:dyDescent="0.25">
      <c r="A21" s="9"/>
      <c r="E21" t="s">
        <v>107</v>
      </c>
      <c r="F21">
        <v>845721.3708845356</v>
      </c>
      <c r="G21" s="50">
        <f>SUMSQ(G16:G20)</f>
        <v>23097130088.316559</v>
      </c>
      <c r="H21" t="s">
        <v>107</v>
      </c>
      <c r="I21">
        <v>654928.87947289017</v>
      </c>
      <c r="J21" s="50">
        <f>SUMSQ(J16:J20)</f>
        <v>13842498609.076366</v>
      </c>
      <c r="K21" t="s">
        <v>107</v>
      </c>
      <c r="L21">
        <v>1700427.5699063251</v>
      </c>
      <c r="M21" s="79">
        <f>SUMSQ(M16:M20)</f>
        <v>84895134224.462265</v>
      </c>
    </row>
    <row r="22" spans="1:13" x14ac:dyDescent="0.25">
      <c r="A22" s="9"/>
      <c r="E22" t="s">
        <v>111</v>
      </c>
      <c r="F22">
        <v>585817.87159949064</v>
      </c>
      <c r="H22" t="s">
        <v>111</v>
      </c>
      <c r="I22">
        <v>443012.83465520683</v>
      </c>
      <c r="K22" t="s">
        <v>111</v>
      </c>
      <c r="L22">
        <v>1164561.3087473442</v>
      </c>
      <c r="M22" s="69"/>
    </row>
    <row r="23" spans="1:13" x14ac:dyDescent="0.25">
      <c r="A23" s="9"/>
      <c r="E23" t="s">
        <v>112</v>
      </c>
      <c r="F23">
        <f>F21/F22</f>
        <v>1.4436592188207167</v>
      </c>
      <c r="H23" t="s">
        <v>112</v>
      </c>
      <c r="I23">
        <f>I21/I22</f>
        <v>1.4783519307800999</v>
      </c>
      <c r="K23" t="s">
        <v>112</v>
      </c>
      <c r="L23">
        <f>L21/L22</f>
        <v>1.4601443111100636</v>
      </c>
      <c r="M23" s="69"/>
    </row>
    <row r="24" spans="1:13" x14ac:dyDescent="0.25">
      <c r="A24" s="9"/>
      <c r="E24" t="s">
        <v>108</v>
      </c>
      <c r="F24">
        <f>F23*$E$10/$I$10</f>
        <v>2.5965822693540419E-2</v>
      </c>
      <c r="H24" t="s">
        <v>108</v>
      </c>
      <c r="I24">
        <f>I23*$E$10/$I$10</f>
        <v>2.6589809847677299E-2</v>
      </c>
      <c r="K24" t="s">
        <v>108</v>
      </c>
      <c r="L24">
        <f>L23*$E$10/$I$10</f>
        <v>2.6262325481657887E-2</v>
      </c>
      <c r="M24" s="69"/>
    </row>
    <row r="25" spans="1:13" x14ac:dyDescent="0.25">
      <c r="A25" s="9"/>
      <c r="E25" t="s">
        <v>109</v>
      </c>
      <c r="F25" s="80">
        <f>F24*256.76/150.36</f>
        <v>4.4340147877051324E-2</v>
      </c>
      <c r="H25" t="s">
        <v>109</v>
      </c>
      <c r="I25" s="80">
        <f>I24*256.76/150.36</f>
        <v>4.5405690186815791E-2</v>
      </c>
      <c r="K25" t="s">
        <v>109</v>
      </c>
      <c r="L25" s="80">
        <f>L24*256.76/150.36</f>
        <v>4.4846466418399025E-2</v>
      </c>
      <c r="M25" s="69"/>
    </row>
    <row r="26" spans="1:13" x14ac:dyDescent="0.25">
      <c r="A26" s="9"/>
      <c r="M26" s="69"/>
    </row>
    <row r="27" spans="1:13" x14ac:dyDescent="0.25">
      <c r="A27" s="9"/>
      <c r="E27" s="81">
        <f>AVERAGE(F25,I25,L25)</f>
        <v>4.4864101494088711E-2</v>
      </c>
      <c r="M27" s="69"/>
    </row>
    <row r="28" spans="1:13" x14ac:dyDescent="0.25">
      <c r="A28" s="9"/>
      <c r="M28" s="69"/>
    </row>
    <row r="29" spans="1:13" x14ac:dyDescent="0.25">
      <c r="A29" s="9"/>
      <c r="M29" s="69"/>
    </row>
    <row r="30" spans="1:13" x14ac:dyDescent="0.25">
      <c r="A30" s="9"/>
      <c r="M30" s="69"/>
    </row>
    <row r="31" spans="1:13" x14ac:dyDescent="0.25">
      <c r="A31" s="9"/>
      <c r="M31" s="69"/>
    </row>
    <row r="32" spans="1:13" x14ac:dyDescent="0.25">
      <c r="A32" s="9"/>
      <c r="M32" s="69"/>
    </row>
    <row r="33" spans="1:13" x14ac:dyDescent="0.25">
      <c r="A33" s="9"/>
      <c r="M33" s="69"/>
    </row>
    <row r="34" spans="1:13" x14ac:dyDescent="0.25">
      <c r="A34" s="9"/>
      <c r="M34" s="69"/>
    </row>
    <row r="35" spans="1:13" x14ac:dyDescent="0.25">
      <c r="A35" s="9"/>
      <c r="M35" s="69"/>
    </row>
    <row r="36" spans="1:13" x14ac:dyDescent="0.25">
      <c r="A36" s="9"/>
      <c r="B36" t="s">
        <v>113</v>
      </c>
      <c r="M36" s="69"/>
    </row>
    <row r="37" spans="1:13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82"/>
    </row>
  </sheetData>
  <mergeCells count="3">
    <mergeCell ref="E13:G13"/>
    <mergeCell ref="H13:J13"/>
    <mergeCell ref="K13:M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2024-12-09T20:14:16Z</dcterms:modified>
  <cp:category/>
  <cp:contentStatus/>
</cp:coreProperties>
</file>