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913" documentId="11_4AB480A97D773D78B6F332151CC35944F734729B" xr6:coauthVersionLast="47" xr6:coauthVersionMax="47" xr10:uidLastSave="{82058B2B-35D1-4B20-B39A-1B8D70E8FB15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D10" i="5"/>
  <c r="C10" i="5"/>
  <c r="B10" i="5"/>
  <c r="D20" i="5"/>
  <c r="L23" i="5"/>
  <c r="L24" i="5" s="1"/>
  <c r="L25" i="5" s="1"/>
  <c r="I23" i="5"/>
  <c r="F23" i="5"/>
  <c r="F24" i="5" s="1"/>
  <c r="F25" i="5" s="1"/>
  <c r="K20" i="5"/>
  <c r="H20" i="5"/>
  <c r="E20" i="5"/>
  <c r="C20" i="5"/>
  <c r="B20" i="5"/>
  <c r="K19" i="5"/>
  <c r="H19" i="5"/>
  <c r="E19" i="5"/>
  <c r="C19" i="5"/>
  <c r="D19" i="5" s="1"/>
  <c r="B19" i="5"/>
  <c r="K18" i="5"/>
  <c r="H18" i="5"/>
  <c r="E18" i="5"/>
  <c r="C18" i="5"/>
  <c r="D18" i="5" s="1"/>
  <c r="B18" i="5"/>
  <c r="K17" i="5"/>
  <c r="H17" i="5"/>
  <c r="E17" i="5"/>
  <c r="C17" i="5"/>
  <c r="D17" i="5" s="1"/>
  <c r="B17" i="5"/>
  <c r="K16" i="5"/>
  <c r="H16" i="5"/>
  <c r="E16" i="5"/>
  <c r="C16" i="5"/>
  <c r="D16" i="5" s="1"/>
  <c r="B16" i="5"/>
  <c r="L15" i="5"/>
  <c r="I15" i="5"/>
  <c r="F15" i="5"/>
  <c r="I10" i="5"/>
  <c r="T3" i="5"/>
  <c r="M4" i="5"/>
  <c r="K4" i="5"/>
  <c r="I4" i="5"/>
  <c r="Q3" i="5"/>
  <c r="M3" i="5"/>
  <c r="M6" i="5" s="1"/>
  <c r="K3" i="5"/>
  <c r="K6" i="5" s="1"/>
  <c r="I3" i="5"/>
  <c r="I6" i="5" s="1"/>
  <c r="L3" i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6" i="2"/>
  <c r="E3" i="2"/>
  <c r="E2" i="2"/>
  <c r="E4" i="2"/>
  <c r="E5" i="2"/>
  <c r="F13" i="1"/>
  <c r="E13" i="1"/>
  <c r="D13" i="1"/>
  <c r="C13" i="1"/>
  <c r="B13" i="1"/>
  <c r="U22" i="1"/>
  <c r="I12" i="1"/>
  <c r="U21" i="1"/>
  <c r="U20" i="1"/>
  <c r="U19" i="1"/>
  <c r="U18" i="1"/>
  <c r="I7" i="1"/>
  <c r="K3" i="1"/>
  <c r="I24" i="5" l="1"/>
  <c r="I25" i="5" s="1"/>
  <c r="E27" i="5" s="1"/>
  <c r="I20" i="5"/>
  <c r="J20" i="5" s="1"/>
  <c r="F20" i="5"/>
  <c r="G20" i="5" s="1"/>
  <c r="L20" i="5"/>
  <c r="M20" i="5" s="1"/>
  <c r="F19" i="5"/>
  <c r="G19" i="5" s="1"/>
  <c r="L19" i="5"/>
  <c r="M19" i="5" s="1"/>
  <c r="I19" i="5"/>
  <c r="J19" i="5" s="1"/>
  <c r="F17" i="5"/>
  <c r="G17" i="5" s="1"/>
  <c r="L17" i="5"/>
  <c r="M17" i="5" s="1"/>
  <c r="I17" i="5"/>
  <c r="J17" i="5" s="1"/>
  <c r="I16" i="5"/>
  <c r="J16" i="5" s="1"/>
  <c r="F16" i="5"/>
  <c r="G16" i="5" s="1"/>
  <c r="L16" i="5"/>
  <c r="M16" i="5" s="1"/>
  <c r="I18" i="5"/>
  <c r="J18" i="5" s="1"/>
  <c r="F18" i="5"/>
  <c r="G18" i="5" s="1"/>
  <c r="L18" i="5"/>
  <c r="M18" i="5" s="1"/>
  <c r="H10" i="5"/>
  <c r="L10" i="5" s="1"/>
  <c r="G10" i="5"/>
  <c r="K10" i="5" s="1"/>
  <c r="F10" i="5"/>
  <c r="J10" i="5" s="1"/>
  <c r="K12" i="1"/>
  <c r="J12" i="1" s="1"/>
  <c r="M21" i="5" l="1"/>
  <c r="G21" i="5"/>
  <c r="J21" i="5"/>
  <c r="K7" i="1"/>
  <c r="J7" i="1" s="1"/>
</calcChain>
</file>

<file path=xl/sharedStrings.xml><?xml version="1.0" encoding="utf-8"?>
<sst xmlns="http://schemas.openxmlformats.org/spreadsheetml/2006/main" count="210" uniqueCount="114">
  <si>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</si>
  <si>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</si>
  <si>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</si>
  <si>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</si>
  <si>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</si>
  <si>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</si>
  <si>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</si>
  <si>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</si>
  <si>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</si>
  <si>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</si>
  <si>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</si>
  <si>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</si>
  <si>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</si>
  <si>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</si>
  <si>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</si>
  <si>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</si>
  <si>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</si>
  <si>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Initial Concentration</t>
  </si>
  <si>
    <t>Target Concentration</t>
  </si>
  <si>
    <t>Cr Initial Concentration</t>
  </si>
  <si>
    <t>B17</t>
  </si>
  <si>
    <t>Sm 2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</si>
  <si>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</si>
  <si>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</si>
  <si>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</si>
  <si>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</si>
  <si>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</si>
  <si>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</si>
  <si>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</si>
  <si>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</si>
  <si>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</si>
  <si>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</si>
  <si>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</si>
  <si>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</si>
  <si>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</si>
  <si>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</si>
  <si>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</si>
  <si>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</si>
  <si>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</si>
  <si>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</si>
  <si>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</si>
  <si>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</si>
  <si>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</si>
  <si>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</si>
  <si>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</si>
  <si>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</si>
  <si>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Sm2 - 0</t>
  </si>
  <si>
    <t>Sm2 - 0.5</t>
  </si>
  <si>
    <t>Sm2 - 1</t>
  </si>
  <si>
    <t>Sm2 - 1.5</t>
  </si>
  <si>
    <t>Sm2 - 2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</si>
  <si>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</si>
  <si>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</si>
  <si>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</si>
  <si>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</si>
  <si>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</si>
  <si>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</si>
  <si>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</si>
  <si>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</si>
  <si>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</si>
  <si>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</si>
  <si>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</si>
  <si>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</si>
  <si>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</si>
  <si>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</si>
  <si>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</si>
  <si>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</si>
  <si>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</si>
  <si>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</si>
  <si>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</si>
  <si>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</si>
  <si>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</si>
  <si>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</si>
  <si>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</si>
  <si>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</si>
  <si>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</si>
  <si>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</si>
  <si>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</si>
  <si>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</si>
  <si>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</si>
  <si>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</si>
  <si>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</si>
  <si>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</si>
  <si>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</si>
  <si>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</si>
  <si>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</si>
  <si>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</si>
  <si>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</si>
  <si>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</si>
  <si>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</si>
  <si>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</si>
  <si>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Sm2_100ppb</t>
  </si>
  <si>
    <t>Replicate 1</t>
  </si>
  <si>
    <t>Replicate 2</t>
  </si>
  <si>
    <t>Replicate 3</t>
  </si>
  <si>
    <t>name</t>
  </si>
  <si>
    <t>mass of sample (g)</t>
  </si>
  <si>
    <t>mas of std (g)</t>
  </si>
  <si>
    <t>spiked Sm conc (ppm_sam)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</si>
  <si>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</si>
  <si>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</si>
  <si>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</si>
  <si>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</si>
  <si>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</si>
  <si>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</si>
  <si>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</si>
  <si>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</si>
  <si>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</si>
  <si>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</si>
  <si>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>m/(counts/ppm) =</t>
  </si>
  <si>
    <t xml:space="preserve">Cx/ppm = </t>
  </si>
  <si>
    <t xml:space="preserve">OG Sm mass frac = </t>
  </si>
  <si>
    <t xml:space="preserve">SmCl3 wt.%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</si>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</sst>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12" fillId="0" borderId="0" xfId="0" applyFont="1"/>
    <xf numFmtId="0" fontId="11" fillId="6" borderId="21" xfId="0" applyFont="1" applyFill="1" applyBorder="1"/>
    <xf numFmtId="0" fontId="11" fillId="7" borderId="21" xfId="0" applyFont="1" applyFill="1" applyBorder="1"/>
    <xf numFmtId="0" fontId="13" fillId="8" borderId="0" xfId="0" applyFont="1" applyFill="1"/>
    <xf numFmtId="0" fontId="14" fillId="8" borderId="0" xfId="0" applyFont="1" applyFill="1"/>
    <xf numFmtId="0" fontId="12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2" fillId="0" borderId="22" xfId="0" applyFont="1" applyBorder="1"/>
    <xf numFmtId="0" fontId="11" fillId="9" borderId="23" xfId="0" applyFont="1" applyFill="1" applyBorder="1"/>
    <xf numFmtId="0" fontId="12" fillId="9" borderId="24" xfId="0" applyFont="1" applyFill="1" applyBorder="1"/>
    <xf numFmtId="0" fontId="11" fillId="9" borderId="24" xfId="0" applyFont="1" applyFill="1" applyBorder="1"/>
    <xf numFmtId="0" fontId="11" fillId="9" borderId="25" xfId="0" applyFont="1" applyFill="1" applyBorder="1"/>
    <xf numFmtId="0" fontId="12" fillId="10" borderId="0" xfId="0" applyFont="1" applyFill="1"/>
    <xf numFmtId="0" fontId="12" fillId="11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9" borderId="31" xfId="0" applyFont="1" applyFill="1" applyBorder="1"/>
    <xf numFmtId="0" fontId="12" fillId="9" borderId="26" xfId="0" applyFont="1" applyFill="1" applyBorder="1"/>
    <xf numFmtId="0" fontId="12" fillId="9" borderId="32" xfId="0" applyFont="1" applyFill="1" applyBorder="1"/>
    <xf numFmtId="0" fontId="12" fillId="0" borderId="31" xfId="0" applyFont="1" applyBorder="1"/>
    <xf numFmtId="0" fontId="12" fillId="0" borderId="26" xfId="0" applyFont="1" applyBorder="1"/>
    <xf numFmtId="0" fontId="12" fillId="0" borderId="32" xfId="0" applyFont="1" applyBorder="1"/>
    <xf numFmtId="0" fontId="12" fillId="9" borderId="33" xfId="0" applyFont="1" applyFill="1" applyBorder="1"/>
    <xf numFmtId="0" fontId="12" fillId="9" borderId="27" xfId="0" applyFont="1" applyFill="1" applyBorder="1"/>
    <xf numFmtId="0" fontId="12" fillId="9" borderId="34" xfId="0" applyFont="1" applyFill="1" applyBorder="1"/>
    <xf numFmtId="0" fontId="12" fillId="0" borderId="30" xfId="0" applyFont="1" applyBorder="1"/>
    <xf numFmtId="166" fontId="0" fillId="0" borderId="0" xfId="1" applyNumberFormat="1" applyFont="1" applyBorder="1"/>
    <xf numFmtId="166" fontId="0" fillId="0" borderId="0" xfId="0" applyNumberFormat="1"/>
    <xf numFmtId="0" fontId="0" fillId="0" borderId="35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28837741436167"/>
          <c:y val="3.2727425029318143E-2"/>
          <c:w val="0.77667743455145033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5.9189238170554888E-2</c:v>
                </c:pt>
                <c:pt idx="2">
                  <c:v>0.11680489731437602</c:v>
                </c:pt>
                <c:pt idx="3">
                  <c:v>0.16381277409569034</c:v>
                </c:pt>
                <c:pt idx="4">
                  <c:v>0.21854960826914216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7096.52</c:v>
                </c:pt>
                <c:pt idx="1">
                  <c:v>33406.160000000003</c:v>
                </c:pt>
                <c:pt idx="2">
                  <c:v>49939.8</c:v>
                </c:pt>
                <c:pt idx="3">
                  <c:v>70656.53</c:v>
                </c:pt>
                <c:pt idx="4">
                  <c:v>91153.58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8-4478-8B13-194C92FF44FE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5.9189238170554888E-2</c:v>
                </c:pt>
                <c:pt idx="2">
                  <c:v>0.11680489731437602</c:v>
                </c:pt>
                <c:pt idx="3">
                  <c:v>0.16381277409569034</c:v>
                </c:pt>
                <c:pt idx="4">
                  <c:v>0.21854960826914216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5724.34</c:v>
                </c:pt>
                <c:pt idx="1">
                  <c:v>25332.3</c:v>
                </c:pt>
                <c:pt idx="2">
                  <c:v>38007.17</c:v>
                </c:pt>
                <c:pt idx="3">
                  <c:v>54237.59</c:v>
                </c:pt>
                <c:pt idx="4">
                  <c:v>70384.479999999996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8-4478-8B13-194C92FF44FE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5.9189238170554888E-2</c:v>
                </c:pt>
                <c:pt idx="2">
                  <c:v>0.11680489731437602</c:v>
                </c:pt>
                <c:pt idx="3">
                  <c:v>0.16381277409569034</c:v>
                </c:pt>
                <c:pt idx="4">
                  <c:v>0.21854960826914216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14781.49</c:v>
                </c:pt>
                <c:pt idx="1">
                  <c:v>66205.95</c:v>
                </c:pt>
                <c:pt idx="2">
                  <c:v>100012.4</c:v>
                </c:pt>
                <c:pt idx="3">
                  <c:v>141204.4</c:v>
                </c:pt>
                <c:pt idx="4">
                  <c:v>183578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C8-4478-8B13-194C92FF44FE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5.9189238170554888E-2</c:v>
                </c:pt>
                <c:pt idx="3">
                  <c:v>0.11680489731437602</c:v>
                </c:pt>
                <c:pt idx="4">
                  <c:v>0.16381277409569034</c:v>
                </c:pt>
                <c:pt idx="5">
                  <c:v>0.21854960826914216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-378897694.7641837</c:v>
                </c:pt>
                <c:pt idx="1">
                  <c:v>8137.607061542185</c:v>
                </c:pt>
                <c:pt idx="2">
                  <c:v>30564.754617976167</c:v>
                </c:pt>
                <c:pt idx="3">
                  <c:v>52395.663903483655</c:v>
                </c:pt>
                <c:pt idx="4">
                  <c:v>70207.222583312498</c:v>
                </c:pt>
                <c:pt idx="5">
                  <c:v>90947.328297171072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C8-4478-8B13-194C92FF44FE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5.9189238170554888E-2</c:v>
                </c:pt>
                <c:pt idx="3">
                  <c:v>0.11680489731437602</c:v>
                </c:pt>
                <c:pt idx="4">
                  <c:v>0.16381277409569034</c:v>
                </c:pt>
                <c:pt idx="5">
                  <c:v>0.21854960826914216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-291798221.28888893</c:v>
                </c:pt>
                <c:pt idx="1">
                  <c:v>6150.9992089529733</c:v>
                </c:pt>
                <c:pt idx="2">
                  <c:v>23422.677699522465</c:v>
                </c:pt>
                <c:pt idx="3">
                  <c:v>40235.17894995019</c:v>
                </c:pt>
                <c:pt idx="4">
                  <c:v>53952.282926717875</c:v>
                </c:pt>
                <c:pt idx="5">
                  <c:v>69924.730463739688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C8-4478-8B13-194C92FF44FE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5.9189238170554888E-2</c:v>
                </c:pt>
                <c:pt idx="3">
                  <c:v>0.11680489731437602</c:v>
                </c:pt>
                <c:pt idx="4">
                  <c:v>0.16381277409569034</c:v>
                </c:pt>
                <c:pt idx="5">
                  <c:v>0.21854960826914216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-761093985.58836675</c:v>
                </c:pt>
                <c:pt idx="1">
                  <c:v>16162.280837510471</c:v>
                </c:pt>
                <c:pt idx="2">
                  <c:v>61211.810653767054</c:v>
                </c:pt>
                <c:pt idx="3">
                  <c:v>105063.67350430242</c:v>
                </c:pt>
                <c:pt idx="4">
                  <c:v>140841.84555234591</c:v>
                </c:pt>
                <c:pt idx="5">
                  <c:v>182502.60550399395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C8-4478-8B13-194C92FF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0.25"/>
          <c:min val="-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.000000000000001E-2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</a:t>
                </a:r>
                <a:r>
                  <a:rPr lang="en-US" baseline="0"/>
                  <a:t> </a:t>
                </a:r>
                <a:r>
                  <a:rPr lang="en-US"/>
                  <a:t>× 10</a:t>
                </a:r>
                <a:r>
                  <a:rPr lang="en-US" baseline="30000"/>
                  <a:t>-3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1158240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BD603-4D3E-464F-A48C-01F91F57A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67C523-8453-4474-816F-33A47A472A52}" name="Table4" displayName="Table4" ref="A2:F7" totalsRowShown="0" headerRowDxfId="1" dataDxfId="0">
  <autoFilter ref="A2:F7" xr:uid="{6067C523-8453-4474-816F-33A47A472A52}"/>
  <tableColumns count="6">
    <tableColumn id="1" xr3:uid="{3B796FDD-C7AC-47A2-B84F-530888B357FE}" name="Name"/>
    <tableColumn id="2" xr3:uid="{FC2A0638-3102-4633-AF6A-A3866E217094}" name="Sample"/>
    <tableColumn id="3" xr3:uid="{2864EC18-7C36-4145-AE41-E2B77EC59BD0}" name="Std"/>
    <tableColumn id="4" xr3:uid="{D599C37F-49A6-4D1D-9267-89A631D0F284}" name="CPS"/>
    <tableColumn id="5" xr3:uid="{539A2231-EADB-4BB4-8478-0C4A2D0EB6E2}" name="CPS2"/>
    <tableColumn id="6" xr3:uid="{1CD2248B-8C84-4BFA-9F11-C214CFD2C7BA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G1" workbookViewId="0">
      <selection activeCell="M25" sqref="M25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83" t="s">
        <v>12</v>
      </c>
      <c r="R1" s="83"/>
      <c r="S1" s="83"/>
      <c r="T1" s="83"/>
      <c r="U1" s="83"/>
      <c r="X1" s="83" t="s">
        <v>13</v>
      </c>
      <c r="Y1" s="83"/>
      <c r="Z1" s="83"/>
      <c r="AA1" s="83"/>
      <c r="AB1" s="83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8">
        <v>35.020699999999998</v>
      </c>
      <c r="G2" s="48">
        <v>35.020699999999998</v>
      </c>
      <c r="H2" s="6">
        <v>0</v>
      </c>
      <c r="I2" s="48">
        <f>G2-E2</f>
        <v>26.932099999999998</v>
      </c>
      <c r="J2" s="6">
        <v>1</v>
      </c>
      <c r="K2" s="6">
        <v>0</v>
      </c>
      <c r="L2" s="6">
        <v>0</v>
      </c>
      <c r="Q2" s="84" t="s">
        <v>17</v>
      </c>
      <c r="R2" s="84"/>
      <c r="S2" s="84"/>
      <c r="U2" t="s">
        <v>18</v>
      </c>
      <c r="X2" s="84" t="s">
        <v>19</v>
      </c>
      <c r="Y2" s="84"/>
      <c r="Z2" s="84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8.1095000000000006</v>
      </c>
      <c r="F3" s="48">
        <f t="shared" ref="F3" si="0">G3-H3</f>
        <v>35.093499999999999</v>
      </c>
      <c r="G3" s="48">
        <v>35.194600000000001</v>
      </c>
      <c r="H3" s="48">
        <v>0.10110000000000241</v>
      </c>
      <c r="I3" s="46">
        <v>20.0441</v>
      </c>
      <c r="J3" s="6">
        <v>1</v>
      </c>
      <c r="K3" s="6">
        <f>(H3/I3*1000000)*J3</f>
        <v>5043.8782484622607</v>
      </c>
      <c r="L3" s="6">
        <f>K3*0.02</f>
        <v>100.87756496924521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</row>
    <row r="5" spans="1:30" ht="21" x14ac:dyDescent="0.35">
      <c r="A5" s="14" t="s">
        <v>23</v>
      </c>
      <c r="E5" s="15" t="s">
        <v>24</v>
      </c>
      <c r="M5" s="16"/>
      <c r="N5" s="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1"/>
      <c r="Q6" t="s">
        <v>7</v>
      </c>
      <c r="R6">
        <v>0.1</v>
      </c>
      <c r="S6">
        <v>0.13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7"/>
      <c r="N7" s="16"/>
      <c r="Q7" t="s">
        <v>29</v>
      </c>
      <c r="R7" s="12">
        <v>10</v>
      </c>
      <c r="S7" s="12">
        <v>12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7"/>
      <c r="N8" s="16"/>
      <c r="Q8" t="s">
        <v>32</v>
      </c>
      <c r="R8">
        <f>R7/R6</f>
        <v>100</v>
      </c>
      <c r="S8">
        <f>S7/S6</f>
        <v>92.307692307692307</v>
      </c>
      <c r="U8">
        <f>PRODUCT(R8:S8)</f>
        <v>9230.7692307692305</v>
      </c>
      <c r="X8" t="s">
        <v>32</v>
      </c>
      <c r="Y8">
        <f>Y7/Y6</f>
        <v>100</v>
      </c>
      <c r="Z8" s="17">
        <f t="shared" ref="Z8:AA8" si="1">Z7/Z6</f>
        <v>100</v>
      </c>
      <c r="AA8">
        <f t="shared" si="1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7"/>
      <c r="Q9" t="s">
        <v>33</v>
      </c>
      <c r="R9" s="22">
        <f>Q3/U8</f>
        <v>0.10833333333333334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C10" s="44"/>
      <c r="D10" s="44"/>
      <c r="E10" s="15" t="s">
        <v>24</v>
      </c>
      <c r="G10" s="36"/>
      <c r="L10" s="47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1.022</v>
      </c>
      <c r="C11" s="24">
        <v>0.1012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10.0425</v>
      </c>
      <c r="C12" s="30">
        <v>10.040900000000001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974.95163952337123</v>
      </c>
      <c r="J12" s="28">
        <f>K12*2/100</f>
        <v>0.10346930132715265</v>
      </c>
      <c r="K12" s="29">
        <f>K3/I12</f>
        <v>5.1734650663576325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9.8263209393346376</v>
      </c>
      <c r="C13">
        <f>C12/C11</f>
        <v>99.218379446640327</v>
      </c>
      <c r="D13">
        <f>D12/D11</f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F14" s="36"/>
      <c r="H14" s="38"/>
      <c r="I14" s="39"/>
      <c r="J14" s="39"/>
      <c r="K14" s="40"/>
      <c r="L14" s="47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1.0147999999999999</v>
      </c>
      <c r="S18">
        <v>0</v>
      </c>
      <c r="T18">
        <v>9.0183999999999997</v>
      </c>
      <c r="U18">
        <f t="shared" si="2"/>
        <v>10.033199999999999</v>
      </c>
    </row>
    <row r="19" spans="17:21" ht="18.75" x14ac:dyDescent="0.3">
      <c r="Q19" s="42" t="s">
        <v>47</v>
      </c>
      <c r="R19">
        <v>1.0116000000000001</v>
      </c>
      <c r="S19">
        <v>0.55269999999999997</v>
      </c>
      <c r="T19">
        <v>8.5271000000000008</v>
      </c>
      <c r="U19">
        <f t="shared" si="2"/>
        <v>10.0914</v>
      </c>
    </row>
    <row r="20" spans="17:21" ht="18.75" x14ac:dyDescent="0.3">
      <c r="Q20" s="42" t="s">
        <v>48</v>
      </c>
      <c r="R20">
        <v>1.0127999999999999</v>
      </c>
      <c r="S20">
        <v>1.0920000000000001</v>
      </c>
      <c r="T20">
        <v>8.0290999999999997</v>
      </c>
      <c r="U20">
        <f t="shared" si="2"/>
        <v>10.133900000000001</v>
      </c>
    </row>
    <row r="21" spans="17:21" ht="18.75" x14ac:dyDescent="0.3">
      <c r="Q21" s="42" t="s">
        <v>49</v>
      </c>
      <c r="R21">
        <v>1.0108999999999999</v>
      </c>
      <c r="S21">
        <v>1.5286</v>
      </c>
      <c r="T21">
        <v>7.5140000000000002</v>
      </c>
      <c r="U21">
        <f t="shared" si="2"/>
        <v>10.0535</v>
      </c>
    </row>
    <row r="22" spans="17:21" ht="18.75" x14ac:dyDescent="0.3">
      <c r="Q22" s="45" t="s">
        <v>50</v>
      </c>
      <c r="R22" s="12">
        <v>1.0125999999999999</v>
      </c>
      <c r="S22" s="12">
        <v>2.0428000000000002</v>
      </c>
      <c r="T22" s="12">
        <v>7.0156000000000001</v>
      </c>
      <c r="U22" s="12">
        <f t="shared" si="2"/>
        <v>10.071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7" sqref="D7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48</v>
      </c>
      <c r="D2">
        <v>3505</v>
      </c>
      <c r="E2">
        <f ca="1">RAND()</f>
        <v>9.6825198088153264E-2</v>
      </c>
    </row>
    <row r="3" spans="1:5" ht="18.75" x14ac:dyDescent="0.3">
      <c r="A3" t="s">
        <v>7</v>
      </c>
      <c r="B3" s="42" t="s">
        <v>47</v>
      </c>
      <c r="D3">
        <v>3504</v>
      </c>
      <c r="E3">
        <f ca="1">RAND()</f>
        <v>0.73000606163730697</v>
      </c>
    </row>
    <row r="4" spans="1:5" ht="18.75" x14ac:dyDescent="0.3">
      <c r="A4" t="s">
        <v>7</v>
      </c>
      <c r="B4" s="42" t="s">
        <v>46</v>
      </c>
      <c r="D4">
        <v>3503</v>
      </c>
      <c r="E4">
        <f ca="1">RAND()</f>
        <v>0.25098623459856217</v>
      </c>
    </row>
    <row r="5" spans="1:5" ht="18.75" x14ac:dyDescent="0.3">
      <c r="A5" t="s">
        <v>7</v>
      </c>
      <c r="B5" s="42" t="s">
        <v>49</v>
      </c>
      <c r="D5">
        <v>3506</v>
      </c>
      <c r="E5">
        <f ca="1">RAND()</f>
        <v>0.59010306962585912</v>
      </c>
    </row>
    <row r="6" spans="1:5" ht="18.75" x14ac:dyDescent="0.3">
      <c r="A6" t="s">
        <v>7</v>
      </c>
      <c r="B6" s="45" t="s">
        <v>50</v>
      </c>
      <c r="D6">
        <v>3507</v>
      </c>
      <c r="E6">
        <f ca="1">RAND()</f>
        <v>0.75950054019378699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M12"/>
    </sheetView>
  </sheetViews>
  <sheetFormatPr defaultRowHeight="15" x14ac:dyDescent="0.25"/>
  <sheetData>
    <row r="1" spans="1:21" x14ac:dyDescent="0.25">
      <c r="A1" s="49" t="s">
        <v>7</v>
      </c>
      <c r="B1" s="49"/>
      <c r="C1" s="49"/>
      <c r="D1" s="49"/>
      <c r="E1" s="49"/>
      <c r="F1" s="49"/>
      <c r="G1" s="49"/>
      <c r="H1" s="49" t="s">
        <v>56</v>
      </c>
      <c r="I1" s="49"/>
      <c r="J1" s="49" t="s">
        <v>57</v>
      </c>
      <c r="K1" s="49"/>
      <c r="L1" s="49" t="s">
        <v>58</v>
      </c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/>
      <c r="B2" s="49" t="s">
        <v>59</v>
      </c>
      <c r="C2" s="49" t="s">
        <v>60</v>
      </c>
      <c r="D2" s="49" t="s">
        <v>61</v>
      </c>
      <c r="E2" s="49" t="s">
        <v>62</v>
      </c>
      <c r="F2" s="49" t="s">
        <v>63</v>
      </c>
      <c r="G2" s="49" t="s">
        <v>1</v>
      </c>
      <c r="H2" s="49" t="s">
        <v>64</v>
      </c>
      <c r="I2" s="49" t="s">
        <v>65</v>
      </c>
      <c r="J2" s="49" t="s">
        <v>64</v>
      </c>
      <c r="K2" s="49" t="s">
        <v>65</v>
      </c>
      <c r="L2" s="49" t="s">
        <v>64</v>
      </c>
      <c r="M2" s="49" t="s">
        <v>65</v>
      </c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/>
      <c r="B3" s="49" t="b">
        <v>0</v>
      </c>
      <c r="C3" s="49" t="s">
        <v>66</v>
      </c>
      <c r="D3" s="49" t="s">
        <v>67</v>
      </c>
      <c r="E3" s="49" t="s">
        <v>7</v>
      </c>
      <c r="F3" s="49"/>
      <c r="G3" s="49" t="s">
        <v>68</v>
      </c>
      <c r="H3" s="49">
        <v>33.369999999999997</v>
      </c>
      <c r="I3" s="49">
        <v>34.6</v>
      </c>
      <c r="J3" s="49">
        <v>36.71</v>
      </c>
      <c r="K3" s="49">
        <v>31.5</v>
      </c>
      <c r="L3" s="49">
        <v>70.08</v>
      </c>
      <c r="M3" s="49">
        <v>14.3</v>
      </c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/>
      <c r="B4" s="49" t="b">
        <v>0</v>
      </c>
      <c r="C4" s="49" t="s">
        <v>69</v>
      </c>
      <c r="D4" s="49" t="s">
        <v>67</v>
      </c>
      <c r="E4" s="49" t="s">
        <v>7</v>
      </c>
      <c r="F4" s="49"/>
      <c r="G4" s="49" t="s">
        <v>48</v>
      </c>
      <c r="H4" s="49">
        <v>49939.8</v>
      </c>
      <c r="I4" s="49">
        <v>2.8</v>
      </c>
      <c r="J4" s="49">
        <v>38007.17</v>
      </c>
      <c r="K4" s="49">
        <v>2.5</v>
      </c>
      <c r="L4" s="49">
        <v>100012.4</v>
      </c>
      <c r="M4" s="49">
        <v>1.4</v>
      </c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/>
      <c r="B5" s="49" t="b">
        <v>0</v>
      </c>
      <c r="C5" s="49" t="s">
        <v>70</v>
      </c>
      <c r="D5" s="49" t="s">
        <v>67</v>
      </c>
      <c r="E5" s="49" t="s">
        <v>7</v>
      </c>
      <c r="F5" s="49"/>
      <c r="G5" s="49" t="s">
        <v>47</v>
      </c>
      <c r="H5" s="49">
        <v>33406.160000000003</v>
      </c>
      <c r="I5" s="49">
        <v>1.9</v>
      </c>
      <c r="J5" s="49">
        <v>25332.3</v>
      </c>
      <c r="K5" s="49">
        <v>1.5</v>
      </c>
      <c r="L5" s="49">
        <v>66205.95</v>
      </c>
      <c r="M5" s="49">
        <v>1.2</v>
      </c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49"/>
      <c r="B6" s="49" t="b">
        <v>0</v>
      </c>
      <c r="C6" s="49" t="s">
        <v>71</v>
      </c>
      <c r="D6" s="49" t="s">
        <v>67</v>
      </c>
      <c r="E6" s="49" t="s">
        <v>7</v>
      </c>
      <c r="F6" s="49"/>
      <c r="G6" s="49" t="s">
        <v>46</v>
      </c>
      <c r="H6" s="49">
        <v>7096.52</v>
      </c>
      <c r="I6" s="49">
        <v>4.2</v>
      </c>
      <c r="J6" s="49">
        <v>5724.34</v>
      </c>
      <c r="K6" s="49">
        <v>2.8</v>
      </c>
      <c r="L6" s="49">
        <v>14781.49</v>
      </c>
      <c r="M6" s="49">
        <v>2.9</v>
      </c>
      <c r="N6" s="49"/>
      <c r="O6" s="49"/>
      <c r="P6" s="49"/>
      <c r="Q6" s="49"/>
      <c r="R6" s="49"/>
      <c r="S6" s="49"/>
      <c r="T6" s="49"/>
      <c r="U6" s="49"/>
    </row>
    <row r="7" spans="1:21" x14ac:dyDescent="0.25">
      <c r="A7" s="49"/>
      <c r="B7" s="49" t="b">
        <v>0</v>
      </c>
      <c r="C7" s="49" t="s">
        <v>72</v>
      </c>
      <c r="D7" s="49" t="s">
        <v>67</v>
      </c>
      <c r="E7" s="49" t="s">
        <v>7</v>
      </c>
      <c r="F7" s="49"/>
      <c r="G7" s="49" t="s">
        <v>49</v>
      </c>
      <c r="H7" s="49">
        <v>70656.53</v>
      </c>
      <c r="I7" s="49">
        <v>1</v>
      </c>
      <c r="J7" s="49">
        <v>54237.59</v>
      </c>
      <c r="K7" s="49">
        <v>0.5</v>
      </c>
      <c r="L7" s="49">
        <v>141204.4</v>
      </c>
      <c r="M7" s="49">
        <v>0.7</v>
      </c>
      <c r="N7" s="49"/>
      <c r="O7" s="49"/>
      <c r="P7" s="49"/>
      <c r="Q7" s="49"/>
      <c r="R7" s="49"/>
      <c r="S7" s="49"/>
      <c r="T7" s="49"/>
      <c r="U7" s="49"/>
    </row>
    <row r="8" spans="1:21" x14ac:dyDescent="0.25">
      <c r="A8" s="49"/>
      <c r="B8" s="49" t="b">
        <v>0</v>
      </c>
      <c r="C8" s="49" t="s">
        <v>73</v>
      </c>
      <c r="D8" s="49" t="s">
        <v>67</v>
      </c>
      <c r="E8" s="49" t="s">
        <v>7</v>
      </c>
      <c r="F8" s="49"/>
      <c r="G8" s="49" t="s">
        <v>50</v>
      </c>
      <c r="H8" s="49">
        <v>91153.58</v>
      </c>
      <c r="I8" s="49">
        <v>2.1</v>
      </c>
      <c r="J8" s="49">
        <v>70384.479999999996</v>
      </c>
      <c r="K8" s="49">
        <v>1.8</v>
      </c>
      <c r="L8" s="49">
        <v>183578</v>
      </c>
      <c r="M8" s="49">
        <v>0.5</v>
      </c>
      <c r="N8" s="49"/>
      <c r="O8" s="49"/>
      <c r="P8" s="49"/>
      <c r="Q8" s="49"/>
      <c r="R8" s="49"/>
      <c r="S8" s="49"/>
      <c r="T8" s="49"/>
      <c r="U8" s="49"/>
    </row>
    <row r="9" spans="1:21" x14ac:dyDescent="0.25">
      <c r="A9" s="49"/>
      <c r="B9" s="49" t="b">
        <v>0</v>
      </c>
      <c r="C9" s="49" t="s">
        <v>74</v>
      </c>
      <c r="D9" s="49" t="s">
        <v>67</v>
      </c>
      <c r="E9" s="49" t="s">
        <v>7</v>
      </c>
      <c r="F9" s="49"/>
      <c r="G9" s="49" t="s">
        <v>68</v>
      </c>
      <c r="H9" s="49">
        <v>33.369999999999997</v>
      </c>
      <c r="I9" s="49">
        <v>62.5</v>
      </c>
      <c r="J9" s="49">
        <v>30.03</v>
      </c>
      <c r="K9" s="49">
        <v>33.299999999999997</v>
      </c>
      <c r="L9" s="49">
        <v>56.73</v>
      </c>
      <c r="M9" s="49">
        <v>10.199999999999999</v>
      </c>
      <c r="N9" s="49"/>
      <c r="O9" s="49"/>
      <c r="P9" s="49"/>
      <c r="Q9" s="49"/>
      <c r="R9" s="49"/>
      <c r="S9" s="49"/>
      <c r="T9" s="49"/>
      <c r="U9" s="49"/>
    </row>
    <row r="10" spans="1:21" x14ac:dyDescent="0.25">
      <c r="A10" s="49"/>
      <c r="B10" s="49" t="b">
        <v>0</v>
      </c>
      <c r="C10" s="49" t="s">
        <v>75</v>
      </c>
      <c r="D10" s="49" t="s">
        <v>67</v>
      </c>
      <c r="E10" s="49" t="s">
        <v>7</v>
      </c>
      <c r="F10" s="49"/>
      <c r="G10" s="49" t="s">
        <v>68</v>
      </c>
      <c r="H10" s="49">
        <v>50.05</v>
      </c>
      <c r="I10" s="49">
        <v>69.3</v>
      </c>
      <c r="J10" s="49">
        <v>26.69</v>
      </c>
      <c r="K10" s="49">
        <v>21.7</v>
      </c>
      <c r="L10" s="49">
        <v>43.38</v>
      </c>
      <c r="M10" s="49">
        <v>26.7</v>
      </c>
      <c r="N10" s="49"/>
      <c r="O10" s="49"/>
      <c r="P10" s="49"/>
      <c r="Q10" s="49"/>
      <c r="R10" s="49"/>
      <c r="S10" s="49"/>
      <c r="T10" s="49"/>
      <c r="U10" s="49"/>
    </row>
    <row r="11" spans="1:2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1:2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 spans="1:2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 spans="1:2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 spans="1:2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 spans="1:2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1:2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1:2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1:2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1:2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 spans="1:2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1:2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1:2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X37"/>
  <sheetViews>
    <sheetView tabSelected="1" topLeftCell="A12" workbookViewId="0">
      <selection activeCell="H46" sqref="H46"/>
    </sheetView>
  </sheetViews>
  <sheetFormatPr defaultRowHeight="15" x14ac:dyDescent="0.25"/>
  <cols>
    <col min="1" max="1" width="12.5703125" bestFit="1" customWidth="1"/>
    <col min="2" max="2" width="10.28515625" bestFit="1" customWidth="1"/>
    <col min="3" max="3" width="12.28515625" bestFit="1" customWidth="1"/>
    <col min="4" max="4" width="23.140625" bestFit="1" customWidth="1"/>
    <col min="5" max="5" width="16.7109375" bestFit="1" customWidth="1"/>
    <col min="6" max="6" width="11.5703125" bestFit="1" customWidth="1"/>
    <col min="7" max="7" width="13" bestFit="1" customWidth="1"/>
    <col min="8" max="8" width="16" bestFit="1" customWidth="1"/>
    <col min="9" max="9" width="14.5703125" bestFit="1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  <col min="18" max="18" width="16" bestFit="1" customWidth="1"/>
    <col min="19" max="19" width="9.28515625" bestFit="1" customWidth="1"/>
    <col min="20" max="20" width="13.7109375" bestFit="1" customWidth="1"/>
    <col min="21" max="21" width="9.28515625" bestFit="1" customWidth="1"/>
    <col min="22" max="22" width="13.7109375" bestFit="1" customWidth="1"/>
  </cols>
  <sheetData>
    <row r="1" spans="1:24" x14ac:dyDescent="0.25">
      <c r="A1" s="49"/>
      <c r="B1" s="50"/>
      <c r="C1" s="50"/>
      <c r="D1" s="49" t="s">
        <v>56</v>
      </c>
      <c r="E1" s="49" t="s">
        <v>57</v>
      </c>
      <c r="F1" s="49" t="s">
        <v>58</v>
      </c>
      <c r="H1" s="50"/>
      <c r="I1" s="51" t="s">
        <v>56</v>
      </c>
      <c r="J1" s="50"/>
      <c r="K1" s="51" t="s">
        <v>57</v>
      </c>
      <c r="L1" s="50"/>
      <c r="M1" s="52" t="s">
        <v>58</v>
      </c>
      <c r="N1" s="50"/>
      <c r="O1" s="50"/>
      <c r="P1" s="50"/>
      <c r="Q1" s="50"/>
      <c r="R1" s="50"/>
      <c r="S1" s="50"/>
      <c r="T1" s="50"/>
    </row>
    <row r="2" spans="1:24" x14ac:dyDescent="0.25">
      <c r="A2" s="53" t="s">
        <v>76</v>
      </c>
      <c r="B2" s="54" t="s">
        <v>7</v>
      </c>
      <c r="C2" s="54" t="s">
        <v>77</v>
      </c>
      <c r="D2" s="53" t="s">
        <v>64</v>
      </c>
      <c r="E2" s="53" t="s">
        <v>78</v>
      </c>
      <c r="F2" s="53" t="s">
        <v>79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5" t="s">
        <v>80</v>
      </c>
    </row>
    <row r="3" spans="1:24" x14ac:dyDescent="0.25">
      <c r="A3" s="56" t="s">
        <v>46</v>
      </c>
      <c r="B3" s="57">
        <v>1.0147999999999999</v>
      </c>
      <c r="C3" s="57">
        <v>0</v>
      </c>
      <c r="D3" s="56">
        <v>7096.52</v>
      </c>
      <c r="E3" s="56">
        <v>5724.34</v>
      </c>
      <c r="F3" s="56">
        <v>14781.49</v>
      </c>
      <c r="H3" s="50" t="s">
        <v>81</v>
      </c>
      <c r="I3">
        <f>INTERCEPT(D3:D7,$C$3:$C$7)</f>
        <v>8146.4727929765504</v>
      </c>
      <c r="K3">
        <f>INTERCEPT(E3:E7,$C$3:$C$7)</f>
        <v>6157.7311001354137</v>
      </c>
      <c r="M3">
        <f>INTERCEPT(F3:F7,$C$3:$C$7)</f>
        <v>16179.377047671587</v>
      </c>
      <c r="N3" s="50"/>
      <c r="O3" s="50"/>
      <c r="P3" t="s">
        <v>82</v>
      </c>
      <c r="Q3">
        <f>AVERAGE(B3:B7)</f>
        <v>1.01254</v>
      </c>
      <c r="S3" t="s">
        <v>83</v>
      </c>
      <c r="T3">
        <f>Prep!R9</f>
        <v>0.10833333333333334</v>
      </c>
    </row>
    <row r="4" spans="1:24" x14ac:dyDescent="0.25">
      <c r="A4" s="49" t="s">
        <v>47</v>
      </c>
      <c r="B4" s="50">
        <v>1.0116000000000001</v>
      </c>
      <c r="C4" s="50">
        <v>0.55269999999999997</v>
      </c>
      <c r="D4" s="49">
        <v>33406.160000000003</v>
      </c>
      <c r="E4" s="49">
        <v>25332.3</v>
      </c>
      <c r="F4" s="49">
        <v>66205.95</v>
      </c>
      <c r="H4" s="50" t="s">
        <v>84</v>
      </c>
      <c r="I4">
        <f>SLOPE(D3:D7,$C$3:$C$7)</f>
        <v>40551.41313148084</v>
      </c>
      <c r="K4">
        <f>SLOPE(E3:E7,$C$3:$C$7)</f>
        <v>31229.697379138222</v>
      </c>
      <c r="M4">
        <f>SLOPE(F3:F7,$C$3:$C$7)</f>
        <v>81456.520151385514</v>
      </c>
      <c r="N4" s="50"/>
      <c r="O4" s="50"/>
      <c r="P4" s="50"/>
      <c r="Q4" s="50"/>
      <c r="R4" s="50"/>
      <c r="S4" s="50"/>
      <c r="T4" s="50"/>
    </row>
    <row r="5" spans="1:24" x14ac:dyDescent="0.25">
      <c r="A5" s="56" t="s">
        <v>48</v>
      </c>
      <c r="B5" s="57">
        <v>1.0127999999999999</v>
      </c>
      <c r="C5" s="57">
        <v>1.0920000000000001</v>
      </c>
      <c r="D5" s="56">
        <v>49939.8</v>
      </c>
      <c r="E5" s="56">
        <v>38007.17</v>
      </c>
      <c r="F5" s="56">
        <v>100012.4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4" x14ac:dyDescent="0.25">
      <c r="A6" s="49" t="s">
        <v>49</v>
      </c>
      <c r="B6" s="50">
        <v>1.0108999999999999</v>
      </c>
      <c r="C6" s="50">
        <v>1.5286</v>
      </c>
      <c r="D6" s="49">
        <v>70656.53</v>
      </c>
      <c r="E6" s="49">
        <v>54237.59</v>
      </c>
      <c r="F6" s="49">
        <v>141204.4</v>
      </c>
      <c r="H6" s="58" t="s">
        <v>85</v>
      </c>
      <c r="I6" s="58">
        <f>I3*$T$3/(I4*Q3)</f>
        <v>2.1493816446787946E-2</v>
      </c>
      <c r="J6" s="58"/>
      <c r="K6" s="58">
        <f>K3*$T$3/(K4*$Q$3)</f>
        <v>2.1096133323696909E-2</v>
      </c>
      <c r="L6" s="58"/>
      <c r="M6" s="58">
        <f>M3*$T$3/(M4*$Q$3)</f>
        <v>2.125131753227142E-2</v>
      </c>
      <c r="N6" s="58"/>
      <c r="O6" s="50"/>
      <c r="P6" s="50"/>
      <c r="Q6" s="50"/>
      <c r="R6" s="50"/>
      <c r="S6" s="50"/>
      <c r="T6" s="50"/>
    </row>
    <row r="7" spans="1:24" x14ac:dyDescent="0.25">
      <c r="A7" s="59" t="s">
        <v>50</v>
      </c>
      <c r="B7" s="60">
        <v>1.0125999999999999</v>
      </c>
      <c r="C7" s="60">
        <v>2.0428000000000002</v>
      </c>
      <c r="D7" s="61">
        <v>91153.58</v>
      </c>
      <c r="E7" s="61">
        <v>70384.479999999996</v>
      </c>
      <c r="F7" s="62">
        <v>183578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4" x14ac:dyDescent="0.25">
      <c r="H8" s="50"/>
      <c r="I8" s="50"/>
      <c r="J8" s="50"/>
      <c r="K8" s="49"/>
      <c r="L8" s="49"/>
      <c r="M8" s="49"/>
      <c r="N8" s="49"/>
      <c r="O8" s="50"/>
      <c r="P8" s="50"/>
      <c r="Q8" s="50"/>
      <c r="R8" s="50"/>
      <c r="S8" s="50"/>
      <c r="T8" s="50"/>
      <c r="X8" s="49"/>
    </row>
    <row r="9" spans="1:24" x14ac:dyDescent="0.25">
      <c r="A9" t="s">
        <v>7</v>
      </c>
      <c r="B9" s="49" t="s">
        <v>56</v>
      </c>
      <c r="C9" s="49" t="s">
        <v>57</v>
      </c>
      <c r="D9" s="49" t="s">
        <v>58</v>
      </c>
      <c r="E9" s="50" t="s">
        <v>86</v>
      </c>
      <c r="F9" s="50">
        <v>147</v>
      </c>
      <c r="G9" s="50">
        <v>148</v>
      </c>
      <c r="H9" s="50">
        <v>152</v>
      </c>
      <c r="I9" s="50" t="s">
        <v>87</v>
      </c>
      <c r="J9" s="63" t="s">
        <v>88</v>
      </c>
      <c r="K9" s="63" t="s">
        <v>89</v>
      </c>
      <c r="L9" s="63" t="s">
        <v>90</v>
      </c>
      <c r="M9" s="49"/>
      <c r="N9" s="49"/>
    </row>
    <row r="10" spans="1:24" x14ac:dyDescent="0.25">
      <c r="A10" t="s">
        <v>91</v>
      </c>
      <c r="B10" s="50">
        <f>I6</f>
        <v>2.1493816446787946E-2</v>
      </c>
      <c r="C10" s="64">
        <f>K6</f>
        <v>2.1096133323696909E-2</v>
      </c>
      <c r="D10" s="64">
        <f>M6</f>
        <v>2.125131753227142E-2</v>
      </c>
      <c r="E10" s="65">
        <f>Prep!I12</f>
        <v>974.95163952337123</v>
      </c>
      <c r="F10">
        <f>B10*E10</f>
        <v>20.955431584410309</v>
      </c>
      <c r="G10">
        <f>C10*E10</f>
        <v>20.567709771541928</v>
      </c>
      <c r="H10">
        <f>D10*$E10</f>
        <v>20.719006870119784</v>
      </c>
      <c r="I10">
        <f>Prep!K3</f>
        <v>5043.8782484622607</v>
      </c>
      <c r="J10">
        <f>(F10/$I10)*100</f>
        <v>0.41546267677652693</v>
      </c>
      <c r="K10">
        <f>(G10/$I10)*100</f>
        <v>0.40777569874555269</v>
      </c>
      <c r="L10">
        <f>(H10/$I10)*100</f>
        <v>0.41077531711707033</v>
      </c>
      <c r="M10" s="49"/>
      <c r="N10" s="49"/>
    </row>
    <row r="11" spans="1:24" x14ac:dyDescent="0.25">
      <c r="M11" s="49"/>
      <c r="N11" s="49"/>
    </row>
    <row r="13" spans="1:24" x14ac:dyDescent="0.25">
      <c r="A13" s="17"/>
      <c r="B13" s="66"/>
      <c r="C13" s="66"/>
      <c r="D13" s="66"/>
      <c r="E13" s="85" t="s">
        <v>92</v>
      </c>
      <c r="F13" s="85"/>
      <c r="G13" s="85"/>
      <c r="H13" s="85" t="s">
        <v>93</v>
      </c>
      <c r="I13" s="85"/>
      <c r="J13" s="85"/>
      <c r="K13" s="85" t="s">
        <v>94</v>
      </c>
      <c r="L13" s="85"/>
      <c r="M13" s="85"/>
    </row>
    <row r="14" spans="1:24" x14ac:dyDescent="0.25">
      <c r="A14" s="13" t="s">
        <v>95</v>
      </c>
      <c r="B14" s="12" t="s">
        <v>96</v>
      </c>
      <c r="C14" s="12" t="s">
        <v>97</v>
      </c>
      <c r="D14" s="12" t="s">
        <v>98</v>
      </c>
      <c r="E14" s="67" t="s">
        <v>99</v>
      </c>
      <c r="F14" s="67" t="s">
        <v>100</v>
      </c>
      <c r="G14" s="67" t="s">
        <v>101</v>
      </c>
      <c r="H14" s="67" t="s">
        <v>99</v>
      </c>
      <c r="I14" s="67" t="s">
        <v>100</v>
      </c>
      <c r="J14" s="67" t="s">
        <v>101</v>
      </c>
      <c r="K14" s="67" t="s">
        <v>99</v>
      </c>
      <c r="L14" s="67" t="s">
        <v>100</v>
      </c>
      <c r="M14" s="68" t="s">
        <v>101</v>
      </c>
    </row>
    <row r="15" spans="1:24" x14ac:dyDescent="0.25">
      <c r="A15" s="9" t="s">
        <v>102</v>
      </c>
      <c r="D15">
        <v>-1000</v>
      </c>
      <c r="F15">
        <f>$F$22*D15+$F$21</f>
        <v>-378897694.7641837</v>
      </c>
      <c r="I15">
        <f>$I$22*D15+$I$21</f>
        <v>-291798221.28888893</v>
      </c>
      <c r="L15">
        <f>$L$22*D15+$L$21</f>
        <v>-761093985.58836675</v>
      </c>
      <c r="M15" s="69"/>
    </row>
    <row r="16" spans="1:24" x14ac:dyDescent="0.25">
      <c r="A16" s="70" t="s">
        <v>103</v>
      </c>
      <c r="B16" s="71">
        <f t="shared" ref="B16:C20" si="0">B3</f>
        <v>1.0147999999999999</v>
      </c>
      <c r="C16" s="71">
        <f t="shared" si="0"/>
        <v>0</v>
      </c>
      <c r="D16" s="71">
        <f>C16*$T$3/B16</f>
        <v>0</v>
      </c>
      <c r="E16" s="71">
        <f>D3</f>
        <v>7096.52</v>
      </c>
      <c r="F16" s="71">
        <f t="shared" ref="F16:F20" si="1">$F$22*D16+$F$21</f>
        <v>8137.607061542185</v>
      </c>
      <c r="G16" s="71">
        <f>E16-F16</f>
        <v>-1041.0870615421845</v>
      </c>
      <c r="H16" s="71">
        <f>E3</f>
        <v>5724.34</v>
      </c>
      <c r="I16" s="71">
        <f t="shared" ref="I16:I20" si="2">$I$22*D16+$I$21</f>
        <v>6150.9992089529733</v>
      </c>
      <c r="J16" s="71">
        <f>H16-I16</f>
        <v>-426.65920895297313</v>
      </c>
      <c r="K16" s="71">
        <f>F3</f>
        <v>14781.49</v>
      </c>
      <c r="L16" s="71">
        <f t="shared" ref="L16:L20" si="3">$L$22*D16+$L$21</f>
        <v>16162.280837510471</v>
      </c>
      <c r="M16" s="72">
        <f>K16-L16</f>
        <v>-1380.7908375104707</v>
      </c>
    </row>
    <row r="17" spans="1:13" x14ac:dyDescent="0.25">
      <c r="A17" s="73" t="s">
        <v>104</v>
      </c>
      <c r="B17" s="74">
        <f t="shared" si="0"/>
        <v>1.0116000000000001</v>
      </c>
      <c r="C17" s="74">
        <f t="shared" si="0"/>
        <v>0.55269999999999997</v>
      </c>
      <c r="D17" s="74">
        <f>C17*$T$3/B17</f>
        <v>5.9189238170554888E-2</v>
      </c>
      <c r="E17" s="74">
        <f t="shared" ref="E17:E20" si="4">D4</f>
        <v>33406.160000000003</v>
      </c>
      <c r="F17" s="74">
        <f t="shared" si="1"/>
        <v>30564.754617976167</v>
      </c>
      <c r="G17" s="74">
        <f t="shared" ref="G17:G20" si="5">E17-F17</f>
        <v>2841.4053820238369</v>
      </c>
      <c r="H17" s="74">
        <f t="shared" ref="H17:H20" si="6">E4</f>
        <v>25332.3</v>
      </c>
      <c r="I17" s="74">
        <f t="shared" si="2"/>
        <v>23422.677699522465</v>
      </c>
      <c r="J17" s="74">
        <f t="shared" ref="J17:J20" si="7">H17-I17</f>
        <v>1909.6223004775347</v>
      </c>
      <c r="K17" s="74">
        <f t="shared" ref="K17:K20" si="8">F4</f>
        <v>66205.95</v>
      </c>
      <c r="L17" s="74">
        <f t="shared" si="3"/>
        <v>61211.810653767054</v>
      </c>
      <c r="M17" s="75">
        <f t="shared" ref="M17:M20" si="9">K17-L17</f>
        <v>4994.1393462329434</v>
      </c>
    </row>
    <row r="18" spans="1:13" x14ac:dyDescent="0.25">
      <c r="A18" s="70" t="s">
        <v>105</v>
      </c>
      <c r="B18" s="71">
        <f t="shared" si="0"/>
        <v>1.0127999999999999</v>
      </c>
      <c r="C18" s="71">
        <f t="shared" si="0"/>
        <v>1.0920000000000001</v>
      </c>
      <c r="D18" s="71">
        <f t="shared" ref="D18:D19" si="10">C18*$T$3/B18</f>
        <v>0.11680489731437602</v>
      </c>
      <c r="E18" s="71">
        <f t="shared" si="4"/>
        <v>49939.8</v>
      </c>
      <c r="F18" s="71">
        <f t="shared" si="1"/>
        <v>52395.663903483655</v>
      </c>
      <c r="G18" s="71">
        <f t="shared" si="5"/>
        <v>-2455.8639034836524</v>
      </c>
      <c r="H18" s="71">
        <f t="shared" si="6"/>
        <v>38007.17</v>
      </c>
      <c r="I18" s="71">
        <f t="shared" si="2"/>
        <v>40235.17894995019</v>
      </c>
      <c r="J18" s="71">
        <f t="shared" si="7"/>
        <v>-2228.0089499501919</v>
      </c>
      <c r="K18" s="71">
        <f t="shared" si="8"/>
        <v>100012.4</v>
      </c>
      <c r="L18" s="71">
        <f t="shared" si="3"/>
        <v>105063.67350430242</v>
      </c>
      <c r="M18" s="72">
        <f t="shared" si="9"/>
        <v>-5051.2735043024295</v>
      </c>
    </row>
    <row r="19" spans="1:13" x14ac:dyDescent="0.25">
      <c r="A19" s="73" t="s">
        <v>106</v>
      </c>
      <c r="B19" s="74">
        <f t="shared" si="0"/>
        <v>1.0108999999999999</v>
      </c>
      <c r="C19" s="74">
        <f t="shared" si="0"/>
        <v>1.5286</v>
      </c>
      <c r="D19" s="74">
        <f t="shared" si="10"/>
        <v>0.16381277409569034</v>
      </c>
      <c r="E19" s="74">
        <f t="shared" si="4"/>
        <v>70656.53</v>
      </c>
      <c r="F19" s="74">
        <f t="shared" si="1"/>
        <v>70207.222583312498</v>
      </c>
      <c r="G19" s="74">
        <f t="shared" si="5"/>
        <v>449.30741668750125</v>
      </c>
      <c r="H19" s="74">
        <f>E6</f>
        <v>54237.59</v>
      </c>
      <c r="I19" s="74">
        <f t="shared" si="2"/>
        <v>53952.282926717875</v>
      </c>
      <c r="J19" s="74">
        <f t="shared" si="7"/>
        <v>285.30707328212156</v>
      </c>
      <c r="K19" s="74">
        <f t="shared" si="8"/>
        <v>141204.4</v>
      </c>
      <c r="L19" s="74">
        <f t="shared" si="3"/>
        <v>140841.84555234591</v>
      </c>
      <c r="M19" s="75">
        <f t="shared" si="9"/>
        <v>362.55444765408174</v>
      </c>
    </row>
    <row r="20" spans="1:13" x14ac:dyDescent="0.25">
      <c r="A20" s="76" t="s">
        <v>107</v>
      </c>
      <c r="B20" s="77">
        <f>B7</f>
        <v>1.0125999999999999</v>
      </c>
      <c r="C20" s="77">
        <f t="shared" si="0"/>
        <v>2.0428000000000002</v>
      </c>
      <c r="D20" s="77">
        <f>C20*$T$3/B20</f>
        <v>0.21854960826914216</v>
      </c>
      <c r="E20" s="77">
        <f t="shared" si="4"/>
        <v>91153.58</v>
      </c>
      <c r="F20" s="77">
        <f t="shared" si="1"/>
        <v>90947.328297171072</v>
      </c>
      <c r="G20" s="77">
        <f t="shared" si="5"/>
        <v>206.25170282892941</v>
      </c>
      <c r="H20" s="77">
        <f t="shared" si="6"/>
        <v>70384.479999999996</v>
      </c>
      <c r="I20" s="77">
        <f t="shared" si="2"/>
        <v>69924.730463739688</v>
      </c>
      <c r="J20" s="77">
        <f t="shared" si="7"/>
        <v>459.74953626030765</v>
      </c>
      <c r="K20" s="77">
        <f t="shared" si="8"/>
        <v>183578</v>
      </c>
      <c r="L20" s="77">
        <f t="shared" si="3"/>
        <v>182502.60550399395</v>
      </c>
      <c r="M20" s="78">
        <f t="shared" si="9"/>
        <v>1075.3944960060471</v>
      </c>
    </row>
    <row r="21" spans="1:13" x14ac:dyDescent="0.25">
      <c r="A21" s="9"/>
      <c r="E21" t="s">
        <v>108</v>
      </c>
      <c r="F21">
        <v>8137.607061542185</v>
      </c>
      <c r="G21" s="50">
        <f>SUMSQ(G16:G20)</f>
        <v>15433131.246748757</v>
      </c>
      <c r="H21" t="s">
        <v>108</v>
      </c>
      <c r="I21">
        <v>6150.9992089529733</v>
      </c>
      <c r="J21" s="50">
        <f>SUMSQ(J16:J20)</f>
        <v>9085489.0542800222</v>
      </c>
      <c r="K21" t="s">
        <v>108</v>
      </c>
      <c r="L21">
        <v>16162.280837510471</v>
      </c>
      <c r="M21" s="79">
        <f>SUMSQ(M16:M20)</f>
        <v>53651294.211366482</v>
      </c>
    </row>
    <row r="22" spans="1:13" x14ac:dyDescent="0.25">
      <c r="A22" s="9"/>
      <c r="E22" t="s">
        <v>109</v>
      </c>
      <c r="F22">
        <v>378905.83237124525</v>
      </c>
      <c r="H22" t="s">
        <v>109</v>
      </c>
      <c r="I22">
        <v>291804.37228809786</v>
      </c>
      <c r="K22" t="s">
        <v>109</v>
      </c>
      <c r="L22">
        <v>761110.14786920429</v>
      </c>
      <c r="M22" s="69"/>
    </row>
    <row r="23" spans="1:13" x14ac:dyDescent="0.25">
      <c r="A23" s="9"/>
      <c r="E23" t="s">
        <v>110</v>
      </c>
      <c r="F23">
        <f>F21/F22</f>
        <v>2.1476594885372735E-2</v>
      </c>
      <c r="H23" t="s">
        <v>110</v>
      </c>
      <c r="I23">
        <f>I21/I22</f>
        <v>2.1079187952948508E-2</v>
      </c>
      <c r="K23" t="s">
        <v>110</v>
      </c>
      <c r="L23">
        <f>L21/L22</f>
        <v>2.1235140383764711E-2</v>
      </c>
      <c r="M23" s="69"/>
    </row>
    <row r="24" spans="1:13" x14ac:dyDescent="0.25">
      <c r="A24" s="9"/>
      <c r="E24" t="s">
        <v>111</v>
      </c>
      <c r="F24">
        <f>F23*$E$10/$I$10</f>
        <v>4.1512979424626296E-3</v>
      </c>
      <c r="H24" t="s">
        <v>111</v>
      </c>
      <c r="I24">
        <f>I23*$E$10/$I$10</f>
        <v>4.0744815481646357E-3</v>
      </c>
      <c r="K24" t="s">
        <v>111</v>
      </c>
      <c r="L24">
        <f>L23*$E$10/$I$10</f>
        <v>4.10462622466595E-3</v>
      </c>
      <c r="M24" s="69"/>
    </row>
    <row r="25" spans="1:13" x14ac:dyDescent="0.25">
      <c r="A25" s="9"/>
      <c r="E25" t="s">
        <v>112</v>
      </c>
      <c r="F25" s="80">
        <f>F24*256.76/150.36</f>
        <v>7.0889017006298535E-3</v>
      </c>
      <c r="H25" t="s">
        <v>112</v>
      </c>
      <c r="I25" s="80">
        <f>I24*256.76/150.36</f>
        <v>6.9577273364375613E-3</v>
      </c>
      <c r="K25" t="s">
        <v>112</v>
      </c>
      <c r="L25" s="80">
        <f>L24*256.76/150.36</f>
        <v>7.0092034413755597E-3</v>
      </c>
      <c r="M25" s="69"/>
    </row>
    <row r="26" spans="1:13" x14ac:dyDescent="0.25">
      <c r="A26" s="9"/>
      <c r="M26" s="69"/>
    </row>
    <row r="27" spans="1:13" x14ac:dyDescent="0.25">
      <c r="A27" s="9"/>
      <c r="E27" s="81">
        <f>AVERAGE(F25,I25,L25)</f>
        <v>7.0186108261476587E-3</v>
      </c>
      <c r="M27" s="69"/>
    </row>
    <row r="28" spans="1:13" x14ac:dyDescent="0.25">
      <c r="A28" s="9"/>
      <c r="M28" s="69"/>
    </row>
    <row r="29" spans="1:13" x14ac:dyDescent="0.25">
      <c r="A29" s="9"/>
      <c r="M29" s="69"/>
    </row>
    <row r="30" spans="1:13" x14ac:dyDescent="0.25">
      <c r="A30" s="9"/>
      <c r="M30" s="69"/>
    </row>
    <row r="31" spans="1:13" x14ac:dyDescent="0.25">
      <c r="A31" s="9"/>
      <c r="M31" s="69"/>
    </row>
    <row r="32" spans="1:13" x14ac:dyDescent="0.25">
      <c r="A32" s="9"/>
      <c r="M32" s="69"/>
    </row>
    <row r="33" spans="1:13" x14ac:dyDescent="0.25">
      <c r="A33" s="9"/>
      <c r="M33" s="69"/>
    </row>
    <row r="34" spans="1:13" x14ac:dyDescent="0.25">
      <c r="A34" s="9"/>
      <c r="M34" s="69"/>
    </row>
    <row r="35" spans="1:13" x14ac:dyDescent="0.25">
      <c r="A35" s="9"/>
      <c r="M35" s="69"/>
    </row>
    <row r="36" spans="1:13" x14ac:dyDescent="0.25">
      <c r="A36" s="9"/>
      <c r="B36" t="s">
        <v>113</v>
      </c>
      <c r="M36" s="69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2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2024-12-09T20:14:22Z</dcterms:modified>
  <cp:category/>
  <cp:contentStatus/>
</cp:coreProperties>
</file>