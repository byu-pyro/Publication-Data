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1161" documentId="13_ncr:1_{17637C22-1674-4694-B9BE-B0AF75D98C7D}" xr6:coauthVersionLast="47" xr6:coauthVersionMax="47" xr10:uidLastSave="{8EFC303D-69CE-4064-B7B6-1B81B77EB456}"/>
  <bookViews>
    <workbookView xWindow="19200" yWindow="0" windowWidth="19200" windowHeight="21000" activeTab="3" xr2:uid="{00000000-000D-0000-FFFF-FFFF00000000}"/>
  </bookViews>
  <sheets>
    <sheet name="Prep" sheetId="1" r:id="rId1"/>
    <sheet name="Randomizer" sheetId="2" r:id="rId2"/>
    <sheet name="Full" sheetId="4" r:id="rId3"/>
    <sheet name="Calculations" sheetId="5" r:id="rId4"/>
  </sheets>
  <definedNames>
    <definedName name="solver_adj" localSheetId="3" hidden="1">Calculations!$F$21:$F$22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0</definedName>
    <definedName name="solver_nwt" localSheetId="3" hidden="1">1</definedName>
    <definedName name="solver_opt" localSheetId="3" hidden="1">Calculations!$G$21</definedName>
    <definedName name="solver_pre" localSheetId="3" hidden="1">0.000001</definedName>
    <definedName name="solver_rbv" localSheetId="3" hidden="1">1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2</definedName>
    <definedName name="solver_val" localSheetId="3" hidden="1">0</definedName>
    <definedName name="solver_ver" localSheetId="3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5" l="1"/>
  <c r="L25" i="5"/>
  <c r="I25" i="5"/>
  <c r="F25" i="5"/>
  <c r="D17" i="5"/>
  <c r="D18" i="5"/>
  <c r="D19" i="5"/>
  <c r="D20" i="5"/>
  <c r="D16" i="5"/>
  <c r="D10" i="5"/>
  <c r="C10" i="5"/>
  <c r="G10" i="5" s="1"/>
  <c r="K10" i="5" s="1"/>
  <c r="B10" i="5"/>
  <c r="E10" i="5"/>
  <c r="E16" i="5"/>
  <c r="B16" i="5"/>
  <c r="L23" i="5"/>
  <c r="L24" i="5" s="1"/>
  <c r="I23" i="5"/>
  <c r="I24" i="5" s="1"/>
  <c r="F23" i="5"/>
  <c r="F24" i="5" s="1"/>
  <c r="K20" i="5"/>
  <c r="H20" i="5"/>
  <c r="E20" i="5"/>
  <c r="C20" i="5"/>
  <c r="B20" i="5"/>
  <c r="K19" i="5"/>
  <c r="H19" i="5"/>
  <c r="E19" i="5"/>
  <c r="C19" i="5"/>
  <c r="B19" i="5"/>
  <c r="K18" i="5"/>
  <c r="H18" i="5"/>
  <c r="E18" i="5"/>
  <c r="C18" i="5"/>
  <c r="B18" i="5"/>
  <c r="K17" i="5"/>
  <c r="H17" i="5"/>
  <c r="E17" i="5"/>
  <c r="C17" i="5"/>
  <c r="B17" i="5"/>
  <c r="K16" i="5"/>
  <c r="H16" i="5"/>
  <c r="C16" i="5"/>
  <c r="L15" i="5"/>
  <c r="I15" i="5"/>
  <c r="F15" i="5"/>
  <c r="I10" i="5"/>
  <c r="M6" i="5"/>
  <c r="K6" i="5"/>
  <c r="T3" i="5"/>
  <c r="I6" i="5"/>
  <c r="I3" i="5"/>
  <c r="K3" i="5"/>
  <c r="M3" i="5"/>
  <c r="M4" i="5"/>
  <c r="K4" i="5"/>
  <c r="I4" i="5"/>
  <c r="Q3" i="5"/>
  <c r="F3" i="1"/>
  <c r="I2" i="1"/>
  <c r="AA8" i="1"/>
  <c r="Z8" i="1"/>
  <c r="AD8" i="1" s="1"/>
  <c r="Y8" i="1"/>
  <c r="AC8" i="1" s="1"/>
  <c r="Y9" i="1" s="1"/>
  <c r="Y10" i="1" s="1"/>
  <c r="S8" i="1"/>
  <c r="R8" i="1"/>
  <c r="U8" i="1" s="1"/>
  <c r="R9" i="1" s="1"/>
  <c r="U17" i="1"/>
  <c r="U16" i="1"/>
  <c r="U15" i="1"/>
  <c r="U14" i="1"/>
  <c r="U13" i="1"/>
  <c r="E3" i="2"/>
  <c r="E6" i="2"/>
  <c r="E4" i="2"/>
  <c r="E5" i="2"/>
  <c r="E2" i="2"/>
  <c r="U22" i="1"/>
  <c r="U21" i="1"/>
  <c r="U20" i="1"/>
  <c r="U19" i="1"/>
  <c r="U18" i="1"/>
  <c r="F13" i="1"/>
  <c r="E13" i="1"/>
  <c r="D13" i="1"/>
  <c r="C13" i="1"/>
  <c r="B13" i="1"/>
  <c r="I12" i="1"/>
  <c r="I7" i="1"/>
  <c r="K3" i="1"/>
  <c r="L3" i="1" s="1"/>
  <c r="F10" i="5" l="1"/>
  <c r="J10" i="5" s="1"/>
  <c r="H10" i="5"/>
  <c r="L10" i="5" s="1"/>
  <c r="F20" i="5"/>
  <c r="G20" i="5" s="1"/>
  <c r="L20" i="5"/>
  <c r="M20" i="5" s="1"/>
  <c r="I20" i="5"/>
  <c r="J20" i="5" s="1"/>
  <c r="I19" i="5"/>
  <c r="J19" i="5" s="1"/>
  <c r="L19" i="5"/>
  <c r="M19" i="5" s="1"/>
  <c r="F19" i="5"/>
  <c r="G19" i="5" s="1"/>
  <c r="F16" i="5"/>
  <c r="G16" i="5" s="1"/>
  <c r="L16" i="5"/>
  <c r="M16" i="5" s="1"/>
  <c r="I16" i="5"/>
  <c r="J16" i="5" s="1"/>
  <c r="I17" i="5"/>
  <c r="J17" i="5" s="1"/>
  <c r="F17" i="5"/>
  <c r="G17" i="5" s="1"/>
  <c r="L17" i="5"/>
  <c r="M17" i="5" s="1"/>
  <c r="F18" i="5"/>
  <c r="G18" i="5" s="1"/>
  <c r="L18" i="5"/>
  <c r="M18" i="5" s="1"/>
  <c r="I18" i="5"/>
  <c r="J18" i="5" s="1"/>
  <c r="K12" i="1"/>
  <c r="J12" i="1"/>
  <c r="M21" i="5" l="1"/>
  <c r="J21" i="5"/>
  <c r="G21" i="5"/>
  <c r="K7" i="1"/>
  <c r="J7" i="1" s="1"/>
</calcChain>
</file>

<file path=xl/sharedStrings.xml><?xml version="1.0" encoding="utf-8"?>
<sst xmlns="http://schemas.openxmlformats.org/spreadsheetml/2006/main" count="207" uniqueCount="109">
  <si>
    <t>Flask</t>
  </si>
  <si>
    <t>Sample Name</t>
  </si>
  <si>
    <t>Solute</t>
  </si>
  <si>
    <t>Solvent</t>
  </si>
  <si>
    <t>flask w/ lid</t>
  </si>
  <si>
    <t>+ solvent</t>
  </si>
  <si>
    <t>+ sample</t>
  </si>
  <si>
    <t>Sample</t>
  </si>
  <si>
    <t>Total Solution</t>
  </si>
  <si>
    <t>Mass Frac</t>
  </si>
  <si>
    <t>PPM</t>
  </si>
  <si>
    <t>Sm PPM</t>
  </si>
  <si>
    <t xml:space="preserve"> Sm Standard Preperetion</t>
  </si>
  <si>
    <t>Cr Standard Preperetion</t>
  </si>
  <si>
    <t>B15</t>
  </si>
  <si>
    <t>Blank</t>
  </si>
  <si>
    <t>2% HNO3</t>
  </si>
  <si>
    <t>Sm ISmtial Concentration</t>
  </si>
  <si>
    <t>Target Concentration</t>
  </si>
  <si>
    <t>Cr ISmtial Concentration</t>
  </si>
  <si>
    <t>B16</t>
  </si>
  <si>
    <t>Sm 1</t>
  </si>
  <si>
    <t>ppm</t>
  </si>
  <si>
    <t xml:space="preserve">Blank </t>
  </si>
  <si>
    <t>Final</t>
  </si>
  <si>
    <t>Goal (ppm)</t>
  </si>
  <si>
    <t>Dilution (x)</t>
  </si>
  <si>
    <t>C_Sm (ppm)</t>
  </si>
  <si>
    <t>C_actual (ppm)</t>
  </si>
  <si>
    <t>Solution</t>
  </si>
  <si>
    <t>Dilution(x)</t>
  </si>
  <si>
    <t>P. Dilution(x)</t>
  </si>
  <si>
    <t>Dilution</t>
  </si>
  <si>
    <t>Final Concentration</t>
  </si>
  <si>
    <t>Partial Conc</t>
  </si>
  <si>
    <t>Final Conc</t>
  </si>
  <si>
    <t>NAME</t>
  </si>
  <si>
    <t>Sample Weight</t>
  </si>
  <si>
    <t>Stan Weight</t>
  </si>
  <si>
    <t>HNO3 Weight</t>
  </si>
  <si>
    <t>Total</t>
  </si>
  <si>
    <t>Blank - 0</t>
  </si>
  <si>
    <t>Blank - 0.5</t>
  </si>
  <si>
    <t>Blank - 1</t>
  </si>
  <si>
    <t>Blank - 1.5</t>
  </si>
  <si>
    <t xml:space="preserve">Blank - 2 </t>
  </si>
  <si>
    <t>Sm1 - 0</t>
  </si>
  <si>
    <t>Sm1 - 0.5</t>
  </si>
  <si>
    <t>Sm1 - 1</t>
  </si>
  <si>
    <t>Sm1 - 1.5</t>
  </si>
  <si>
    <t>Sm1 - 2</t>
  </si>
  <si>
    <t>Column1</t>
  </si>
  <si>
    <t>Column2</t>
  </si>
  <si>
    <t>Column3</t>
  </si>
  <si>
    <t>Column4</t>
  </si>
  <si>
    <t>Column5</t>
  </si>
  <si>
    <t xml:space="preserve">147  Sm  [ He ] </t>
  </si>
  <si>
    <t xml:space="preserve">148  Sm  [ He ] </t>
  </si>
  <si>
    <t xml:space="preserve">152  Sm  [ He ] </t>
  </si>
  <si>
    <t>Rjct</t>
  </si>
  <si>
    <t>Data File</t>
  </si>
  <si>
    <t>Acq. Date-Time</t>
  </si>
  <si>
    <t>Type</t>
  </si>
  <si>
    <t>Level</t>
  </si>
  <si>
    <t>CPS</t>
  </si>
  <si>
    <t>CPS RSD</t>
  </si>
  <si>
    <t>001SMPL.d</t>
  </si>
  <si>
    <t>Rinse</t>
  </si>
  <si>
    <t>N/A</t>
  </si>
  <si>
    <t>002SMPL.d</t>
  </si>
  <si>
    <t>003SMPL.d</t>
  </si>
  <si>
    <t>004SMPL.d</t>
  </si>
  <si>
    <t>005SMPL.d</t>
  </si>
  <si>
    <t>006SMPL.d</t>
  </si>
  <si>
    <t>007SMPL.d</t>
  </si>
  <si>
    <t>008SMPL.d</t>
  </si>
  <si>
    <t>Name</t>
  </si>
  <si>
    <t>Std</t>
  </si>
  <si>
    <t>CPS2</t>
  </si>
  <si>
    <t>CPS3</t>
  </si>
  <si>
    <t>Sm (ppm)</t>
  </si>
  <si>
    <t xml:space="preserve">b = </t>
  </si>
  <si>
    <t>Vx =</t>
  </si>
  <si>
    <t>Cs =</t>
  </si>
  <si>
    <t>m =</t>
  </si>
  <si>
    <t>Cx =</t>
  </si>
  <si>
    <t>Dilution #</t>
  </si>
  <si>
    <t>OG Conc (ppm)</t>
  </si>
  <si>
    <t>147 Sm %</t>
  </si>
  <si>
    <t>148 Sm%</t>
  </si>
  <si>
    <t>152 Sm%</t>
  </si>
  <si>
    <t>Sm1_100ppb</t>
  </si>
  <si>
    <t>name</t>
  </si>
  <si>
    <t>mass of sample (g)</t>
  </si>
  <si>
    <t>mas of std (g)</t>
  </si>
  <si>
    <t>spiked Sm conc (ppm_sam)</t>
  </si>
  <si>
    <t>Counts</t>
  </si>
  <si>
    <t>yhat</t>
  </si>
  <si>
    <t>ε</t>
  </si>
  <si>
    <t>zero</t>
  </si>
  <si>
    <t xml:space="preserve">b/counts = </t>
  </si>
  <si>
    <t>m/(counts/ppm) =</t>
  </si>
  <si>
    <t xml:space="preserve">Cx/ppb = </t>
  </si>
  <si>
    <t xml:space="preserve">OG Sm mass frac = </t>
  </si>
  <si>
    <t>x-axis units = g_Sm per 1 billion grams of diluted sample solution</t>
  </si>
  <si>
    <t>Replicate 1</t>
  </si>
  <si>
    <t>Replicate 2</t>
  </si>
  <si>
    <t>Replicate 3</t>
  </si>
  <si>
    <t xml:space="preserve">SmCl3 wt.%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</si>
</sst>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"/>
    <numFmt numFmtId="165" formatCode="0.0000"/>
    <numFmt numFmtId="166" formatCode="0.000%"/>
  </numFmts>
  <fonts count="15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92D0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2D05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b/>
      <sz val="11"/>
      <color rgb="FFFFFFFF"/>
      <name val="Aptos Narrow"/>
      <family val="2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EEECE1"/>
        <bgColor rgb="FF000000"/>
      </patternFill>
    </fill>
    <fill>
      <patternFill patternType="solid">
        <fgColor rgb="FFDDD9C4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FFFFFF"/>
        <bgColor rgb="FF000000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rgb="FF000000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theme="1"/>
      </bottom>
      <diagonal/>
    </border>
    <border>
      <left/>
      <right style="thin">
        <color indexed="64"/>
      </right>
      <top style="thin">
        <color rgb="FF000000"/>
      </top>
      <bottom style="thin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8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0" fillId="2" borderId="0" xfId="0" applyFill="1"/>
    <xf numFmtId="0" fontId="0" fillId="0" borderId="3" xfId="0" applyBorder="1"/>
    <xf numFmtId="10" fontId="5" fillId="0" borderId="0" xfId="0" applyNumberFormat="1" applyFont="1" applyAlignment="1">
      <alignment wrapText="1"/>
    </xf>
    <xf numFmtId="9" fontId="5" fillId="0" borderId="0" xfId="0" applyNumberFormat="1" applyFont="1" applyAlignment="1">
      <alignment wrapText="1"/>
    </xf>
    <xf numFmtId="0" fontId="0" fillId="0" borderId="1" xfId="0" applyBorder="1"/>
    <xf numFmtId="0" fontId="0" fillId="0" borderId="4" xfId="0" applyBorder="1"/>
    <xf numFmtId="0" fontId="2" fillId="0" borderId="0" xfId="0" applyFont="1"/>
    <xf numFmtId="0" fontId="6" fillId="0" borderId="5" xfId="0" applyFont="1" applyBorder="1" applyAlignment="1">
      <alignment horizontal="right"/>
    </xf>
    <xf numFmtId="0" fontId="5" fillId="0" borderId="0" xfId="0" applyFont="1"/>
    <xf numFmtId="0" fontId="0" fillId="0" borderId="6" xfId="0" applyBorder="1"/>
    <xf numFmtId="0" fontId="7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0" xfId="0" applyFill="1"/>
    <xf numFmtId="0" fontId="0" fillId="4" borderId="1" xfId="0" applyFill="1" applyBorder="1"/>
    <xf numFmtId="0" fontId="0" fillId="0" borderId="10" xfId="0" applyBorder="1"/>
    <xf numFmtId="0" fontId="8" fillId="0" borderId="11" xfId="0" applyFont="1" applyBorder="1"/>
    <xf numFmtId="0" fontId="0" fillId="5" borderId="12" xfId="0" applyFill="1" applyBorder="1"/>
    <xf numFmtId="1" fontId="0" fillId="0" borderId="8" xfId="0" applyNumberFormat="1" applyBorder="1"/>
    <xf numFmtId="164" fontId="0" fillId="0" borderId="8" xfId="0" applyNumberFormat="1" applyBorder="1"/>
    <xf numFmtId="165" fontId="0" fillId="0" borderId="9" xfId="0" applyNumberFormat="1" applyBorder="1"/>
    <xf numFmtId="0" fontId="0" fillId="0" borderId="13" xfId="0" applyBorder="1"/>
    <xf numFmtId="0" fontId="8" fillId="0" borderId="14" xfId="0" applyFont="1" applyBorder="1"/>
    <xf numFmtId="0" fontId="0" fillId="5" borderId="15" xfId="0" applyFill="1" applyBorder="1"/>
    <xf numFmtId="0" fontId="0" fillId="0" borderId="16" xfId="0" applyBorder="1"/>
    <xf numFmtId="1" fontId="0" fillId="0" borderId="0" xfId="0" applyNumberFormat="1"/>
    <xf numFmtId="165" fontId="0" fillId="0" borderId="17" xfId="0" applyNumberFormat="1" applyBorder="1"/>
    <xf numFmtId="0" fontId="8" fillId="0" borderId="0" xfId="0" applyFont="1"/>
    <xf numFmtId="0" fontId="0" fillId="5" borderId="0" xfId="0" applyFill="1"/>
    <xf numFmtId="0" fontId="0" fillId="0" borderId="18" xfId="0" applyBorder="1"/>
    <xf numFmtId="1" fontId="0" fillId="0" borderId="19" xfId="0" applyNumberFormat="1" applyBorder="1"/>
    <xf numFmtId="165" fontId="0" fillId="0" borderId="20" xfId="0" applyNumberFormat="1" applyBorder="1"/>
    <xf numFmtId="0" fontId="0" fillId="0" borderId="5" xfId="0" applyBorder="1"/>
    <xf numFmtId="0" fontId="9" fillId="0" borderId="0" xfId="0" applyFont="1"/>
    <xf numFmtId="0" fontId="9" fillId="0" borderId="5" xfId="0" applyFont="1" applyBorder="1"/>
    <xf numFmtId="0" fontId="9" fillId="0" borderId="1" xfId="0" applyFont="1" applyBorder="1"/>
    <xf numFmtId="165" fontId="0" fillId="0" borderId="0" xfId="0" applyNumberFormat="1"/>
    <xf numFmtId="165" fontId="3" fillId="0" borderId="0" xfId="0" applyNumberFormat="1" applyFont="1"/>
    <xf numFmtId="0" fontId="10" fillId="0" borderId="0" xfId="0" applyFont="1"/>
    <xf numFmtId="22" fontId="0" fillId="0" borderId="0" xfId="0" applyNumberFormat="1"/>
    <xf numFmtId="0" fontId="11" fillId="0" borderId="0" xfId="0" applyFont="1"/>
    <xf numFmtId="0" fontId="12" fillId="6" borderId="0" xfId="0" applyFont="1" applyFill="1"/>
    <xf numFmtId="0" fontId="13" fillId="6" borderId="0" xfId="0" applyFont="1" applyFill="1"/>
    <xf numFmtId="0" fontId="10" fillId="7" borderId="0" xfId="0" applyFont="1" applyFill="1"/>
    <xf numFmtId="0" fontId="11" fillId="7" borderId="0" xfId="0" applyFont="1" applyFill="1"/>
    <xf numFmtId="0" fontId="10" fillId="7" borderId="23" xfId="0" applyFont="1" applyFill="1" applyBorder="1"/>
    <xf numFmtId="0" fontId="11" fillId="7" borderId="24" xfId="0" applyFont="1" applyFill="1" applyBorder="1"/>
    <xf numFmtId="0" fontId="10" fillId="7" borderId="24" xfId="0" applyFont="1" applyFill="1" applyBorder="1"/>
    <xf numFmtId="0" fontId="10" fillId="7" borderId="25" xfId="0" applyFont="1" applyFill="1" applyBorder="1"/>
    <xf numFmtId="0" fontId="10" fillId="8" borderId="21" xfId="0" applyFont="1" applyFill="1" applyBorder="1"/>
    <xf numFmtId="0" fontId="10" fillId="9" borderId="21" xfId="0" applyFont="1" applyFill="1" applyBorder="1"/>
    <xf numFmtId="0" fontId="11" fillId="8" borderId="0" xfId="0" applyFont="1" applyFill="1"/>
    <xf numFmtId="0" fontId="11" fillId="0" borderId="22" xfId="0" applyFont="1" applyBorder="1"/>
    <xf numFmtId="0" fontId="11" fillId="10" borderId="0" xfId="0" applyFont="1" applyFill="1"/>
    <xf numFmtId="0" fontId="11" fillId="11" borderId="0" xfId="0" applyFont="1" applyFill="1"/>
    <xf numFmtId="1" fontId="11" fillId="0" borderId="0" xfId="0" applyNumberFormat="1" applyFont="1"/>
    <xf numFmtId="0" fontId="0" fillId="0" borderId="2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11" fillId="7" borderId="31" xfId="0" applyFont="1" applyFill="1" applyBorder="1"/>
    <xf numFmtId="0" fontId="11" fillId="7" borderId="26" xfId="0" applyFont="1" applyFill="1" applyBorder="1"/>
    <xf numFmtId="0" fontId="11" fillId="7" borderId="32" xfId="0" applyFont="1" applyFill="1" applyBorder="1"/>
    <xf numFmtId="0" fontId="11" fillId="0" borderId="31" xfId="0" applyFont="1" applyBorder="1"/>
    <xf numFmtId="0" fontId="11" fillId="0" borderId="26" xfId="0" applyFont="1" applyBorder="1"/>
    <xf numFmtId="0" fontId="11" fillId="0" borderId="32" xfId="0" applyFont="1" applyBorder="1"/>
    <xf numFmtId="0" fontId="11" fillId="7" borderId="33" xfId="0" applyFont="1" applyFill="1" applyBorder="1"/>
    <xf numFmtId="0" fontId="11" fillId="7" borderId="27" xfId="0" applyFont="1" applyFill="1" applyBorder="1"/>
    <xf numFmtId="0" fontId="11" fillId="7" borderId="34" xfId="0" applyFont="1" applyFill="1" applyBorder="1"/>
    <xf numFmtId="0" fontId="11" fillId="0" borderId="30" xfId="0" applyFont="1" applyBorder="1"/>
    <xf numFmtId="0" fontId="0" fillId="0" borderId="35" xfId="0" applyBorder="1"/>
    <xf numFmtId="166" fontId="0" fillId="0" borderId="0" xfId="1" applyNumberFormat="1" applyFont="1" applyBorder="1"/>
    <xf numFmtId="166" fontId="0" fillId="0" borderId="0" xfId="0" applyNumberFormat="1"/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10" fillId="0" borderId="28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930396364128444"/>
          <c:y val="2.976190476190476E-2"/>
          <c:w val="0.76619402494272892"/>
          <c:h val="0.67238603153329235"/>
        </c:manualLayout>
      </c:layout>
      <c:scatterChart>
        <c:scatterStyle val="lineMarker"/>
        <c:varyColors val="0"/>
        <c:ser>
          <c:idx val="0"/>
          <c:order val="0"/>
          <c:tx>
            <c:v>Replicate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>
                  <a:lumMod val="50000"/>
                  <a:lumOff val="50000"/>
                </a:schemeClr>
              </a:solidFill>
              <a:ln w="12700">
                <a:solidFill>
                  <a:schemeClr val="tx1">
                    <a:lumMod val="50000"/>
                    <a:lumOff val="50000"/>
                  </a:schemeClr>
                </a:solidFill>
                <a:prstDash val="solid"/>
              </a:ln>
              <a:effectLst/>
            </c:spPr>
          </c:marker>
          <c:xVal>
            <c:numRef>
              <c:f>Calculations!$D$16:$D$20</c:f>
              <c:numCache>
                <c:formatCode>General</c:formatCode>
                <c:ptCount val="5"/>
                <c:pt idx="0">
                  <c:v>0</c:v>
                </c:pt>
                <c:pt idx="1">
                  <c:v>5.9634921257827211E-2</c:v>
                </c:pt>
                <c:pt idx="2">
                  <c:v>0.11971937389973082</c:v>
                </c:pt>
                <c:pt idx="3">
                  <c:v>0.16915574827007979</c:v>
                </c:pt>
                <c:pt idx="4">
                  <c:v>0.22083632316809954</c:v>
                </c:pt>
              </c:numCache>
            </c:numRef>
          </c:xVal>
          <c:yVal>
            <c:numRef>
              <c:f>Calculations!$E$16:$E$20</c:f>
              <c:numCache>
                <c:formatCode>General</c:formatCode>
                <c:ptCount val="5"/>
                <c:pt idx="0">
                  <c:v>7997.99</c:v>
                </c:pt>
                <c:pt idx="1">
                  <c:v>30877.13</c:v>
                </c:pt>
                <c:pt idx="2">
                  <c:v>46572.98</c:v>
                </c:pt>
                <c:pt idx="3">
                  <c:v>63911.49</c:v>
                </c:pt>
                <c:pt idx="4">
                  <c:v>78577.149999999994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4E-4FAB-B02D-198FE8B25F72}"/>
            </c:ext>
          </c:extLst>
        </c:ser>
        <c:ser>
          <c:idx val="1"/>
          <c:order val="1"/>
          <c:tx>
            <c:v>Replicate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1270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Calculations!$D$16:$D$20</c:f>
              <c:numCache>
                <c:formatCode>General</c:formatCode>
                <c:ptCount val="5"/>
                <c:pt idx="0">
                  <c:v>0</c:v>
                </c:pt>
                <c:pt idx="1">
                  <c:v>5.9634921257827211E-2</c:v>
                </c:pt>
                <c:pt idx="2">
                  <c:v>0.11971937389973082</c:v>
                </c:pt>
                <c:pt idx="3">
                  <c:v>0.16915574827007979</c:v>
                </c:pt>
                <c:pt idx="4">
                  <c:v>0.22083632316809954</c:v>
                </c:pt>
              </c:numCache>
            </c:numRef>
          </c:xVal>
          <c:yVal>
            <c:numRef>
              <c:f>Calculations!$H$16:$H$20</c:f>
              <c:numCache>
                <c:formatCode>General</c:formatCode>
                <c:ptCount val="5"/>
                <c:pt idx="0">
                  <c:v>5861.21</c:v>
                </c:pt>
                <c:pt idx="1">
                  <c:v>23854.85</c:v>
                </c:pt>
                <c:pt idx="2">
                  <c:v>36651.43</c:v>
                </c:pt>
                <c:pt idx="3">
                  <c:v>48472.62</c:v>
                </c:pt>
                <c:pt idx="4">
                  <c:v>61387.3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4E-4FAB-B02D-198FE8B25F72}"/>
            </c:ext>
          </c:extLst>
        </c:ser>
        <c:ser>
          <c:idx val="2"/>
          <c:order val="2"/>
          <c:tx>
            <c:v>Replicate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noFill/>
              <a:ln w="1270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Calculations!$D$16:$D$20</c:f>
              <c:numCache>
                <c:formatCode>General</c:formatCode>
                <c:ptCount val="5"/>
                <c:pt idx="0">
                  <c:v>0</c:v>
                </c:pt>
                <c:pt idx="1">
                  <c:v>5.9634921257827211E-2</c:v>
                </c:pt>
                <c:pt idx="2">
                  <c:v>0.11971937389973082</c:v>
                </c:pt>
                <c:pt idx="3">
                  <c:v>0.16915574827007979</c:v>
                </c:pt>
                <c:pt idx="4">
                  <c:v>0.22083632316809954</c:v>
                </c:pt>
              </c:numCache>
            </c:numRef>
          </c:xVal>
          <c:yVal>
            <c:numRef>
              <c:f>Calculations!$K$16:$K$20</c:f>
              <c:numCache>
                <c:formatCode>General</c:formatCode>
                <c:ptCount val="5"/>
                <c:pt idx="0">
                  <c:v>15122.27</c:v>
                </c:pt>
                <c:pt idx="1">
                  <c:v>62604.5</c:v>
                </c:pt>
                <c:pt idx="2">
                  <c:v>93436.34</c:v>
                </c:pt>
                <c:pt idx="3">
                  <c:v>126909.97</c:v>
                </c:pt>
                <c:pt idx="4">
                  <c:v>159931.73000000001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4E-4FAB-B02D-198FE8B25F72}"/>
            </c:ext>
          </c:extLst>
        </c:ser>
        <c:ser>
          <c:idx val="3"/>
          <c:order val="3"/>
          <c:tx>
            <c:v>147 fit</c:v>
          </c:tx>
          <c:spPr>
            <a:ln w="12700" cap="rnd">
              <a:solidFill>
                <a:schemeClr val="tx1">
                  <a:lumMod val="50000"/>
                  <a:lumOff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Calculations!$D$15:$D$20</c:f>
              <c:numCache>
                <c:formatCode>General</c:formatCode>
                <c:ptCount val="6"/>
                <c:pt idx="0">
                  <c:v>-100</c:v>
                </c:pt>
                <c:pt idx="1">
                  <c:v>0</c:v>
                </c:pt>
                <c:pt idx="2">
                  <c:v>5.9634921257827211E-2</c:v>
                </c:pt>
                <c:pt idx="3">
                  <c:v>0.11971937389973082</c:v>
                </c:pt>
                <c:pt idx="4">
                  <c:v>0.16915574827007979</c:v>
                </c:pt>
                <c:pt idx="5">
                  <c:v>0.22083632316809954</c:v>
                </c:pt>
              </c:numCache>
            </c:numRef>
          </c:xVal>
          <c:yVal>
            <c:numRef>
              <c:f>Calculations!$F$15:$F$20</c:f>
              <c:numCache>
                <c:formatCode>General</c:formatCode>
                <c:ptCount val="6"/>
                <c:pt idx="0">
                  <c:v>-31612043.264305733</c:v>
                </c:pt>
                <c:pt idx="1">
                  <c:v>9580.0177849676347</c:v>
                </c:pt>
                <c:pt idx="2">
                  <c:v>28437.547929689179</c:v>
                </c:pt>
                <c:pt idx="3">
                  <c:v>47437.227195218133</c:v>
                </c:pt>
                <c:pt idx="4">
                  <c:v>63069.811262933923</c:v>
                </c:pt>
                <c:pt idx="5">
                  <c:v>79412.04796720446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4E-4FAB-B02D-198FE8B25F72}"/>
            </c:ext>
          </c:extLst>
        </c:ser>
        <c:ser>
          <c:idx val="4"/>
          <c:order val="4"/>
          <c:tx>
            <c:v>148 fit</c:v>
          </c:tx>
          <c:spPr>
            <a:ln w="12700" cap="rnd">
              <a:solidFill>
                <a:srgbClr val="00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Calculations!$D$15:$D$20</c:f>
              <c:numCache>
                <c:formatCode>General</c:formatCode>
                <c:ptCount val="6"/>
                <c:pt idx="0">
                  <c:v>-100</c:v>
                </c:pt>
                <c:pt idx="1">
                  <c:v>0</c:v>
                </c:pt>
                <c:pt idx="2">
                  <c:v>5.9634921257827211E-2</c:v>
                </c:pt>
                <c:pt idx="3">
                  <c:v>0.11971937389973082</c:v>
                </c:pt>
                <c:pt idx="4">
                  <c:v>0.16915574827007979</c:v>
                </c:pt>
                <c:pt idx="5">
                  <c:v>0.22083632316809954</c:v>
                </c:pt>
              </c:numCache>
            </c:numRef>
          </c:xVal>
          <c:yVal>
            <c:numRef>
              <c:f>Calculations!$I$15:$I$20</c:f>
              <c:numCache>
                <c:formatCode>General</c:formatCode>
                <c:ptCount val="6"/>
                <c:pt idx="0">
                  <c:v>-24629667.03737136</c:v>
                </c:pt>
                <c:pt idx="1">
                  <c:v>7191.6561871464492</c:v>
                </c:pt>
                <c:pt idx="2">
                  <c:v>21883.827469452222</c:v>
                </c:pt>
                <c:pt idx="3">
                  <c:v>36686.749163636094</c:v>
                </c:pt>
                <c:pt idx="4">
                  <c:v>48866.31886047755</c:v>
                </c:pt>
                <c:pt idx="5">
                  <c:v>61598.78907012134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F4E-4FAB-B02D-198FE8B25F72}"/>
            </c:ext>
          </c:extLst>
        </c:ser>
        <c:ser>
          <c:idx val="5"/>
          <c:order val="5"/>
          <c:tx>
            <c:v>152 fit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Calculations!$D$15:$D$20</c:f>
              <c:numCache>
                <c:formatCode>General</c:formatCode>
                <c:ptCount val="6"/>
                <c:pt idx="0">
                  <c:v>-100</c:v>
                </c:pt>
                <c:pt idx="1">
                  <c:v>0</c:v>
                </c:pt>
                <c:pt idx="2">
                  <c:v>5.9634921257827211E-2</c:v>
                </c:pt>
                <c:pt idx="3">
                  <c:v>0.11971937389973082</c:v>
                </c:pt>
                <c:pt idx="4">
                  <c:v>0.16915574827007979</c:v>
                </c:pt>
                <c:pt idx="5">
                  <c:v>0.22083632316809954</c:v>
                </c:pt>
              </c:numCache>
            </c:numRef>
          </c:xVal>
          <c:yVal>
            <c:numRef>
              <c:f>Calculations!$L$15:$L$20</c:f>
              <c:numCache>
                <c:formatCode>General</c:formatCode>
                <c:ptCount val="6"/>
                <c:pt idx="0">
                  <c:v>-64215885.281776294</c:v>
                </c:pt>
                <c:pt idx="1">
                  <c:v>18457.745815968952</c:v>
                </c:pt>
                <c:pt idx="2">
                  <c:v>56763.845700956226</c:v>
                </c:pt>
                <c:pt idx="3">
                  <c:v>95358.699117207812</c:v>
                </c:pt>
                <c:pt idx="4">
                  <c:v>127113.82941066247</c:v>
                </c:pt>
                <c:pt idx="5">
                  <c:v>160310.50716928823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F4E-4FAB-B02D-198FE8B25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0718504"/>
        <c:axId val="860718864"/>
      </c:scatterChart>
      <c:valAx>
        <c:axId val="860718504"/>
        <c:scaling>
          <c:orientation val="minMax"/>
          <c:max val="0.23"/>
          <c:min val="-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Spiked Sm Concentration (ppm)</a:t>
                </a:r>
                <a:endParaRPr lang="en-US" baseline="-25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0.00" sourceLinked="0"/>
        <c:majorTickMark val="out"/>
        <c:minorTickMark val="out"/>
        <c:tickLblPos val="nextTo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60718864"/>
        <c:crosses val="autoZero"/>
        <c:crossBetween val="midCat"/>
        <c:majorUnit val="5.000000000000001E-2"/>
      </c:valAx>
      <c:valAx>
        <c:axId val="860718864"/>
        <c:scaling>
          <c:orientation val="minMax"/>
          <c:max val="1700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Intensity</a:t>
                </a:r>
                <a:r>
                  <a:rPr lang="en-US" baseline="0"/>
                  <a:t> × 10</a:t>
                </a:r>
                <a:r>
                  <a:rPr lang="en-US" baseline="30000"/>
                  <a:t>-3</a:t>
                </a:r>
                <a:r>
                  <a:rPr lang="en-US" baseline="0"/>
                  <a:t> (CPS)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" sourceLinked="0"/>
        <c:majorTickMark val="out"/>
        <c:minorTickMark val="out"/>
        <c:tickLblPos val="nextTo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60718504"/>
        <c:crossesAt val="-1000"/>
        <c:crossBetween val="midCat"/>
      </c:valAx>
      <c:spPr>
        <a:solidFill>
          <a:srgbClr val="FFFFFF"/>
        </a:solidFill>
        <a:ln w="12700">
          <a:noFill/>
          <a:prstDash val="solid"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12393162393162394"/>
          <c:y val="0.87871875058170923"/>
          <c:w val="0.77777777777777779"/>
          <c:h val="0.116321006749156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solidFill>
            <a:sysClr val="windowText" lastClr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297180</xdr:colOff>
      <xdr:row>22</xdr:row>
      <xdr:rowOff>99060</xdr:rowOff>
    </xdr:from>
    <xdr:to>
      <xdr:col>3</xdr:col>
      <xdr:colOff>1082040</xdr:colOff>
      <xdr:row>34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1610FB-B9D5-4519-8695-ABFF9CAE56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CE53F1-A856-44A7-8C6E-6ABF449CDDF8}" name="Table1" displayName="Table1" ref="A1:E6" totalsRowShown="0">
  <autoFilter ref="A1:E6" xr:uid="{40CE53F1-A856-44A7-8C6E-6ABF449CDDF8}"/>
  <sortState xmlns:xlrd2="http://schemas.microsoft.com/office/spreadsheetml/2017/richdata2" ref="A2:E6">
    <sortCondition ref="E1:E6"/>
  </sortState>
  <tableColumns count="5">
    <tableColumn id="1" xr3:uid="{6B197B71-1E81-47F3-A4C4-80165013CA78}" name="Column1"/>
    <tableColumn id="2" xr3:uid="{9C209523-53C1-4FD7-9C71-05C0127710A0}" name="Column2" dataDxfId="2"/>
    <tableColumn id="3" xr3:uid="{C1306BDA-5D3C-4925-936D-814D91446129}" name="Column3"/>
    <tableColumn id="4" xr3:uid="{1142699D-E65E-441F-BABC-7E809552A21D}" name="Column4"/>
    <tableColumn id="5" xr3:uid="{50E72BA8-C4B5-4B5E-8441-FCF9C341FE37}" name="Column5">
      <calculatedColumnFormula>RAND()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2D9E39-55B4-41EF-AB33-D7768BB709A7}" name="Table4" displayName="Table4" ref="A2:F7" totalsRowShown="0" headerRowDxfId="1" dataDxfId="0">
  <autoFilter ref="A2:F7" xr:uid="{162D9E39-55B4-41EF-AB33-D7768BB709A7}"/>
  <tableColumns count="6">
    <tableColumn id="1" xr3:uid="{C5B1765B-0798-4230-B5AF-42981363ADAD}" name="Name"/>
    <tableColumn id="2" xr3:uid="{0954BB82-34D2-494E-824A-8EC7DD5CD0FB}" name="Sample"/>
    <tableColumn id="3" xr3:uid="{3BFE6206-B561-4B09-B815-A6B9A984480A}" name="Std"/>
    <tableColumn id="4" xr3:uid="{70DECD08-7F54-46AB-A2B4-9816974908A8}" name="CPS"/>
    <tableColumn id="5" xr3:uid="{1DBF4777-DBA6-4B57-ACB3-CD976891B4CE}" name="CPS2"/>
    <tableColumn id="6" xr3:uid="{8891688F-3A0F-4C80-8702-836EA0741BE0}" name="CPS3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2"/>
  <sheetViews>
    <sheetView topLeftCell="J1" workbookViewId="0">
      <selection activeCell="S44" sqref="S44"/>
    </sheetView>
  </sheetViews>
  <sheetFormatPr defaultRowHeight="15" x14ac:dyDescent="0.25"/>
  <cols>
    <col min="6" max="6" width="10.7109375" bestFit="1" customWidth="1"/>
    <col min="7" max="7" width="9.42578125" customWidth="1"/>
    <col min="9" max="9" width="9.5703125" customWidth="1"/>
    <col min="10" max="10" width="10.42578125" bestFit="1" customWidth="1"/>
    <col min="17" max="17" width="13.85546875" customWidth="1"/>
  </cols>
  <sheetData>
    <row r="1" spans="1:30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Q1" s="82" t="s">
        <v>12</v>
      </c>
      <c r="R1" s="82"/>
      <c r="S1" s="82"/>
      <c r="T1" s="82"/>
      <c r="U1" s="82"/>
      <c r="X1" s="82" t="s">
        <v>13</v>
      </c>
      <c r="Y1" s="82"/>
      <c r="Z1" s="82"/>
      <c r="AA1" s="82"/>
      <c r="AB1" s="82"/>
    </row>
    <row r="2" spans="1:30" ht="17.25" x14ac:dyDescent="0.3">
      <c r="A2" s="2" t="s">
        <v>14</v>
      </c>
      <c r="B2" s="3" t="s">
        <v>15</v>
      </c>
      <c r="C2" s="4"/>
      <c r="D2" s="5" t="s">
        <v>16</v>
      </c>
      <c r="E2" s="4">
        <v>8.0885999999999996</v>
      </c>
      <c r="F2" s="46">
        <v>35.020699999999998</v>
      </c>
      <c r="G2" s="46">
        <v>35.020699999999998</v>
      </c>
      <c r="H2" s="6">
        <v>0</v>
      </c>
      <c r="I2" s="46">
        <f>G2-E2</f>
        <v>26.932099999999998</v>
      </c>
      <c r="J2" s="6">
        <v>1</v>
      </c>
      <c r="K2" s="6">
        <v>0</v>
      </c>
      <c r="L2" s="6">
        <v>0</v>
      </c>
      <c r="M2" s="6"/>
      <c r="Q2" s="83" t="s">
        <v>17</v>
      </c>
      <c r="R2" s="83"/>
      <c r="S2" s="83"/>
      <c r="U2" t="s">
        <v>18</v>
      </c>
      <c r="X2" s="83" t="s">
        <v>19</v>
      </c>
      <c r="Y2" s="83"/>
      <c r="Z2" s="83"/>
      <c r="AB2" t="s">
        <v>18</v>
      </c>
    </row>
    <row r="3" spans="1:30" ht="17.25" x14ac:dyDescent="0.3">
      <c r="A3" s="2" t="s">
        <v>20</v>
      </c>
      <c r="B3" s="3" t="s">
        <v>21</v>
      </c>
      <c r="C3" s="7"/>
      <c r="D3" s="5" t="s">
        <v>16</v>
      </c>
      <c r="E3" s="6">
        <v>8.1151</v>
      </c>
      <c r="F3" s="46">
        <f>G3-H3</f>
        <v>35.059699999999992</v>
      </c>
      <c r="G3" s="46">
        <v>35.167099999999998</v>
      </c>
      <c r="H3" s="46">
        <v>0.10740000000000194</v>
      </c>
      <c r="I3" s="6">
        <v>20.0261</v>
      </c>
      <c r="J3" s="6">
        <v>1</v>
      </c>
      <c r="K3" s="6">
        <f>(H3/I3*1000000)*J3</f>
        <v>5363.0012833253568</v>
      </c>
      <c r="L3" s="6">
        <f>K3*0.02</f>
        <v>107.26002566650713</v>
      </c>
      <c r="M3" s="6"/>
      <c r="Q3">
        <v>1000</v>
      </c>
      <c r="R3" t="s">
        <v>22</v>
      </c>
      <c r="U3">
        <v>0.1</v>
      </c>
      <c r="V3" t="s">
        <v>22</v>
      </c>
      <c r="X3">
        <v>1002</v>
      </c>
      <c r="Y3" t="s">
        <v>22</v>
      </c>
      <c r="AB3">
        <v>0.1</v>
      </c>
      <c r="AC3" t="s">
        <v>22</v>
      </c>
    </row>
    <row r="4" spans="1:30" ht="17.25" x14ac:dyDescent="0.3">
      <c r="A4" s="2"/>
      <c r="B4" s="3"/>
      <c r="C4" s="5"/>
      <c r="D4" s="5"/>
      <c r="E4" s="5"/>
      <c r="F4" s="6"/>
      <c r="G4" s="6"/>
      <c r="H4" s="6"/>
      <c r="I4" s="6"/>
      <c r="J4" s="6"/>
      <c r="K4" s="6"/>
      <c r="L4" s="6"/>
      <c r="M4" s="10"/>
      <c r="N4" s="11"/>
    </row>
    <row r="5" spans="1:30" ht="21" x14ac:dyDescent="0.35">
      <c r="A5" s="14" t="s">
        <v>23</v>
      </c>
      <c r="E5" s="15" t="s">
        <v>24</v>
      </c>
      <c r="M5" s="16"/>
      <c r="N5" s="16"/>
      <c r="R5" s="8">
        <v>1000</v>
      </c>
      <c r="S5" s="8"/>
    </row>
    <row r="6" spans="1:30" x14ac:dyDescent="0.25">
      <c r="A6" s="18" t="s">
        <v>7</v>
      </c>
      <c r="B6" s="24">
        <v>1</v>
      </c>
      <c r="C6" s="24">
        <v>1</v>
      </c>
      <c r="D6" s="24">
        <v>1</v>
      </c>
      <c r="E6" s="25">
        <v>1</v>
      </c>
      <c r="F6" s="26">
        <v>1</v>
      </c>
      <c r="H6" s="19" t="s">
        <v>25</v>
      </c>
      <c r="I6" s="20" t="s">
        <v>26</v>
      </c>
      <c r="J6" s="20" t="s">
        <v>27</v>
      </c>
      <c r="K6" s="21" t="s">
        <v>28</v>
      </c>
      <c r="M6" s="16"/>
      <c r="N6" s="16"/>
      <c r="Q6" t="s">
        <v>7</v>
      </c>
      <c r="R6">
        <v>9.8599999999999993E-2</v>
      </c>
      <c r="S6">
        <v>0.13730000000000001</v>
      </c>
      <c r="X6" t="s">
        <v>7</v>
      </c>
      <c r="Y6">
        <v>0.1</v>
      </c>
      <c r="Z6" s="9">
        <v>0.1</v>
      </c>
      <c r="AA6">
        <v>1</v>
      </c>
    </row>
    <row r="7" spans="1:30" x14ac:dyDescent="0.25">
      <c r="A7" s="18" t="s">
        <v>29</v>
      </c>
      <c r="B7" s="30">
        <v>10</v>
      </c>
      <c r="C7" s="30">
        <v>1</v>
      </c>
      <c r="D7" s="30">
        <v>1</v>
      </c>
      <c r="E7" s="31">
        <v>10</v>
      </c>
      <c r="F7" s="32">
        <v>1</v>
      </c>
      <c r="H7" s="19">
        <v>10</v>
      </c>
      <c r="I7" s="27">
        <f>PRODUCT(B8:D8)</f>
        <v>10</v>
      </c>
      <c r="J7" s="28">
        <f>K7*1/100</f>
        <v>0</v>
      </c>
      <c r="K7" s="29">
        <f>K2/I7</f>
        <v>0</v>
      </c>
      <c r="L7" s="45"/>
      <c r="Q7" t="s">
        <v>29</v>
      </c>
      <c r="R7" s="12">
        <v>10.1312</v>
      </c>
      <c r="S7" s="12">
        <v>12.115500000000001</v>
      </c>
      <c r="U7" t="s">
        <v>30</v>
      </c>
      <c r="X7" t="s">
        <v>29</v>
      </c>
      <c r="Y7" s="12">
        <v>10</v>
      </c>
      <c r="Z7" s="13">
        <v>10</v>
      </c>
      <c r="AA7" s="12">
        <v>1</v>
      </c>
      <c r="AC7" t="s">
        <v>31</v>
      </c>
      <c r="AD7" t="s">
        <v>26</v>
      </c>
    </row>
    <row r="8" spans="1:30" x14ac:dyDescent="0.25">
      <c r="A8" s="18" t="s">
        <v>32</v>
      </c>
      <c r="B8">
        <v>10</v>
      </c>
      <c r="C8">
        <v>1</v>
      </c>
      <c r="D8">
        <v>1</v>
      </c>
      <c r="E8" s="36">
        <v>10</v>
      </c>
      <c r="F8" s="37">
        <v>1</v>
      </c>
      <c r="H8" s="33"/>
      <c r="I8" s="34"/>
      <c r="J8" s="34"/>
      <c r="K8" s="35"/>
      <c r="L8" s="45"/>
      <c r="Q8" t="s">
        <v>32</v>
      </c>
      <c r="R8">
        <f>R7/R6</f>
        <v>102.75050709939148</v>
      </c>
      <c r="S8">
        <f>S7/S6</f>
        <v>88.241077931536779</v>
      </c>
      <c r="U8">
        <f>PRODUCT(R8:S8)</f>
        <v>9066.8155044623272</v>
      </c>
      <c r="X8" t="s">
        <v>32</v>
      </c>
      <c r="Y8">
        <f>Y7/Y6</f>
        <v>100</v>
      </c>
      <c r="Z8" s="17">
        <f t="shared" ref="Z8:AA8" si="0">Z7/Z6</f>
        <v>100</v>
      </c>
      <c r="AA8">
        <f t="shared" si="0"/>
        <v>1</v>
      </c>
      <c r="AC8">
        <f>PRODUCT(Y8)</f>
        <v>100</v>
      </c>
      <c r="AD8">
        <f>PRODUCT(Z8:AA8)</f>
        <v>100</v>
      </c>
    </row>
    <row r="9" spans="1:30" x14ac:dyDescent="0.25">
      <c r="H9" s="38"/>
      <c r="I9" s="39"/>
      <c r="J9" s="39"/>
      <c r="K9" s="40"/>
      <c r="L9" s="45"/>
      <c r="Q9" t="s">
        <v>33</v>
      </c>
      <c r="R9" s="22">
        <f>Q3/U8</f>
        <v>0.11029230709589707</v>
      </c>
      <c r="S9" s="22" t="s">
        <v>22</v>
      </c>
      <c r="X9" s="12" t="s">
        <v>34</v>
      </c>
      <c r="Y9" s="23">
        <f>X3/AC8</f>
        <v>10.02</v>
      </c>
      <c r="Z9" s="23" t="s">
        <v>22</v>
      </c>
    </row>
    <row r="10" spans="1:30" ht="21" x14ac:dyDescent="0.35">
      <c r="A10" s="14" t="s">
        <v>21</v>
      </c>
      <c r="E10" s="15" t="s">
        <v>24</v>
      </c>
      <c r="G10" s="36"/>
      <c r="X10" t="s">
        <v>35</v>
      </c>
      <c r="Y10" s="22">
        <f>Y9/AD8</f>
        <v>0.1002</v>
      </c>
      <c r="Z10" s="22" t="s">
        <v>22</v>
      </c>
    </row>
    <row r="11" spans="1:30" x14ac:dyDescent="0.25">
      <c r="A11" s="18" t="s">
        <v>7</v>
      </c>
      <c r="B11" s="24">
        <v>0.39989999999999998</v>
      </c>
      <c r="C11" s="24">
        <v>0.25009999999999999</v>
      </c>
      <c r="D11" s="24">
        <v>1</v>
      </c>
      <c r="E11" s="25">
        <v>1</v>
      </c>
      <c r="F11" s="26">
        <v>1</v>
      </c>
      <c r="H11" s="19" t="s">
        <v>25</v>
      </c>
      <c r="I11" s="20" t="s">
        <v>26</v>
      </c>
      <c r="J11" s="20" t="s">
        <v>27</v>
      </c>
      <c r="K11" s="21" t="s">
        <v>28</v>
      </c>
    </row>
    <row r="12" spans="1:30" x14ac:dyDescent="0.25">
      <c r="A12" s="18" t="s">
        <v>29</v>
      </c>
      <c r="B12" s="30">
        <v>10.0375</v>
      </c>
      <c r="C12" s="30">
        <v>10.0136</v>
      </c>
      <c r="D12" s="30">
        <v>1</v>
      </c>
      <c r="E12" s="31">
        <v>10</v>
      </c>
      <c r="F12" s="32">
        <v>1</v>
      </c>
      <c r="H12" s="19">
        <v>10</v>
      </c>
      <c r="I12" s="27">
        <f>PRODUCT(B13:D13)</f>
        <v>1004.9644558280714</v>
      </c>
      <c r="J12" s="28">
        <f>K12*2/100</f>
        <v>0.1067301684596665</v>
      </c>
      <c r="K12" s="29">
        <f>K3/I12</f>
        <v>5.3365084229833251</v>
      </c>
      <c r="Q12" s="41" t="s">
        <v>36</v>
      </c>
      <c r="R12" s="41" t="s">
        <v>37</v>
      </c>
      <c r="S12" s="41" t="s">
        <v>38</v>
      </c>
      <c r="T12" s="41" t="s">
        <v>39</v>
      </c>
      <c r="U12" s="41" t="s">
        <v>40</v>
      </c>
    </row>
    <row r="13" spans="1:30" ht="18.75" x14ac:dyDescent="0.3">
      <c r="A13" s="18" t="s">
        <v>32</v>
      </c>
      <c r="B13">
        <f>B12/B11</f>
        <v>25.100025006251563</v>
      </c>
      <c r="C13">
        <f t="shared" ref="C13:D13" si="1">C12/C11</f>
        <v>40.038384646141544</v>
      </c>
      <c r="D13">
        <f t="shared" si="1"/>
        <v>1</v>
      </c>
      <c r="E13" s="36">
        <f>E12/E11</f>
        <v>10</v>
      </c>
      <c r="F13" s="37">
        <f>F12/F11</f>
        <v>1</v>
      </c>
      <c r="H13" s="33"/>
      <c r="I13" s="34"/>
      <c r="J13" s="34"/>
      <c r="K13" s="35"/>
      <c r="L13" s="45"/>
      <c r="Q13" s="42" t="s">
        <v>41</v>
      </c>
      <c r="R13">
        <v>1.0147999999999999</v>
      </c>
      <c r="S13">
        <v>0</v>
      </c>
      <c r="T13">
        <v>9.0305</v>
      </c>
      <c r="U13">
        <f t="shared" ref="U13:U22" si="2">SUM(R13:T13)</f>
        <v>10.045299999999999</v>
      </c>
    </row>
    <row r="14" spans="1:30" ht="18.75" x14ac:dyDescent="0.3">
      <c r="H14" s="38"/>
      <c r="I14" s="39"/>
      <c r="J14" s="39"/>
      <c r="K14" s="40"/>
      <c r="L14" s="45"/>
      <c r="Q14" s="42" t="s">
        <v>42</v>
      </c>
      <c r="R14">
        <v>1.0127999999999999</v>
      </c>
      <c r="S14">
        <v>0.54090000000000005</v>
      </c>
      <c r="T14">
        <v>8.5208999999999993</v>
      </c>
      <c r="U14">
        <f t="shared" si="2"/>
        <v>10.0746</v>
      </c>
    </row>
    <row r="15" spans="1:30" ht="18.75" x14ac:dyDescent="0.3">
      <c r="Q15" s="42" t="s">
        <v>43</v>
      </c>
      <c r="R15">
        <v>1.0111000000000001</v>
      </c>
      <c r="S15">
        <v>1.0874999999999999</v>
      </c>
      <c r="T15">
        <v>8.0350999999999999</v>
      </c>
      <c r="U15">
        <f t="shared" si="2"/>
        <v>10.133700000000001</v>
      </c>
    </row>
    <row r="16" spans="1:30" ht="18.75" x14ac:dyDescent="0.3">
      <c r="Q16" s="42" t="s">
        <v>44</v>
      </c>
      <c r="R16">
        <v>1.0105999999999999</v>
      </c>
      <c r="S16">
        <v>1.5255000000000001</v>
      </c>
      <c r="T16">
        <v>7.5103</v>
      </c>
      <c r="U16">
        <f t="shared" si="2"/>
        <v>10.0464</v>
      </c>
    </row>
    <row r="17" spans="17:21" ht="18.75" x14ac:dyDescent="0.3">
      <c r="Q17" s="43" t="s">
        <v>45</v>
      </c>
      <c r="R17" s="12">
        <v>1.0011000000000001</v>
      </c>
      <c r="S17" s="12">
        <v>2.0381</v>
      </c>
      <c r="T17" s="12">
        <v>7.0076999999999998</v>
      </c>
      <c r="U17" s="12">
        <f t="shared" si="2"/>
        <v>10.046900000000001</v>
      </c>
    </row>
    <row r="18" spans="17:21" ht="18.75" x14ac:dyDescent="0.3">
      <c r="Q18" s="42" t="s">
        <v>46</v>
      </c>
      <c r="R18">
        <v>1.0098</v>
      </c>
      <c r="S18">
        <v>0</v>
      </c>
      <c r="T18">
        <v>9.0058000000000007</v>
      </c>
      <c r="U18">
        <f t="shared" si="2"/>
        <v>10.015600000000001</v>
      </c>
    </row>
    <row r="19" spans="17:21" ht="18.75" x14ac:dyDescent="0.3">
      <c r="Q19" s="42" t="s">
        <v>47</v>
      </c>
      <c r="R19">
        <v>1.0074000000000001</v>
      </c>
      <c r="S19">
        <v>0.54469999999999996</v>
      </c>
      <c r="T19">
        <v>8.5067000000000004</v>
      </c>
      <c r="U19">
        <f t="shared" si="2"/>
        <v>10.0588</v>
      </c>
    </row>
    <row r="20" spans="17:21" ht="18.75" x14ac:dyDescent="0.3">
      <c r="Q20" s="42" t="s">
        <v>48</v>
      </c>
      <c r="R20">
        <v>1.0085</v>
      </c>
      <c r="S20">
        <v>1.0947</v>
      </c>
      <c r="T20">
        <v>8.0073000000000008</v>
      </c>
      <c r="U20">
        <f t="shared" si="2"/>
        <v>10.110500000000002</v>
      </c>
    </row>
    <row r="21" spans="17:21" ht="18.75" x14ac:dyDescent="0.3">
      <c r="Q21" s="42" t="s">
        <v>49</v>
      </c>
      <c r="R21">
        <v>1.0073000000000001</v>
      </c>
      <c r="S21">
        <v>1.5448999999999999</v>
      </c>
      <c r="T21">
        <v>7.5136000000000003</v>
      </c>
      <c r="U21">
        <f t="shared" si="2"/>
        <v>10.065799999999999</v>
      </c>
    </row>
    <row r="22" spans="17:21" ht="18.75" x14ac:dyDescent="0.3">
      <c r="Q22" s="44" t="s">
        <v>50</v>
      </c>
      <c r="R22" s="12">
        <v>1.0078</v>
      </c>
      <c r="S22" s="12">
        <v>2.0179</v>
      </c>
      <c r="T22" s="12">
        <v>7.0198999999999998</v>
      </c>
      <c r="U22" s="12">
        <f t="shared" si="2"/>
        <v>10.0456</v>
      </c>
    </row>
  </sheetData>
  <mergeCells count="4">
    <mergeCell ref="Q1:U1"/>
    <mergeCell ref="X1:AB1"/>
    <mergeCell ref="Q2:S2"/>
    <mergeCell ref="X2:Z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G6" sqref="G6"/>
    </sheetView>
  </sheetViews>
  <sheetFormatPr defaultRowHeight="15" x14ac:dyDescent="0.25"/>
  <cols>
    <col min="1" max="1" width="11.42578125" bestFit="1" customWidth="1"/>
    <col min="2" max="2" width="12" bestFit="1" customWidth="1"/>
    <col min="3" max="5" width="11.42578125" bestFit="1" customWidth="1"/>
  </cols>
  <sheetData>
    <row r="1" spans="1:5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</row>
    <row r="2" spans="1:5" ht="18.75" x14ac:dyDescent="0.3">
      <c r="A2" t="s">
        <v>7</v>
      </c>
      <c r="B2" s="42" t="s">
        <v>49</v>
      </c>
      <c r="D2">
        <v>3202</v>
      </c>
      <c r="E2">
        <f ca="1">RAND()</f>
        <v>0.11094938727836279</v>
      </c>
    </row>
    <row r="3" spans="1:5" ht="18.75" x14ac:dyDescent="0.3">
      <c r="A3" t="s">
        <v>7</v>
      </c>
      <c r="B3" s="42" t="s">
        <v>47</v>
      </c>
      <c r="D3">
        <v>3112</v>
      </c>
      <c r="E3">
        <f ca="1">RAND()</f>
        <v>0.91747007816818726</v>
      </c>
    </row>
    <row r="4" spans="1:5" ht="18.75" x14ac:dyDescent="0.3">
      <c r="A4" t="s">
        <v>7</v>
      </c>
      <c r="B4" s="42" t="s">
        <v>50</v>
      </c>
      <c r="D4">
        <v>3203</v>
      </c>
      <c r="E4">
        <f ca="1">RAND()</f>
        <v>0.63682185059670526</v>
      </c>
    </row>
    <row r="5" spans="1:5" ht="18.75" x14ac:dyDescent="0.3">
      <c r="A5" t="s">
        <v>7</v>
      </c>
      <c r="B5" s="42" t="s">
        <v>48</v>
      </c>
      <c r="D5">
        <v>3201</v>
      </c>
      <c r="E5">
        <f ca="1">RAND()</f>
        <v>7.5439324410582542E-2</v>
      </c>
    </row>
    <row r="6" spans="1:5" ht="18.75" x14ac:dyDescent="0.3">
      <c r="A6" t="s">
        <v>7</v>
      </c>
      <c r="B6" s="44" t="s">
        <v>46</v>
      </c>
      <c r="D6">
        <v>3111</v>
      </c>
      <c r="E6">
        <f ca="1">RAND()</f>
        <v>0.67694787704077886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2EC8A-9FE6-4B14-93D7-E9A493692AD5}">
  <dimension ref="A1:U29"/>
  <sheetViews>
    <sheetView workbookViewId="0">
      <selection activeCell="G1" sqref="G1"/>
    </sheetView>
  </sheetViews>
  <sheetFormatPr defaultRowHeight="15" x14ac:dyDescent="0.25"/>
  <sheetData>
    <row r="1" spans="1:21" x14ac:dyDescent="0.25">
      <c r="A1" t="s">
        <v>7</v>
      </c>
      <c r="H1" t="s">
        <v>56</v>
      </c>
      <c r="J1" t="s">
        <v>57</v>
      </c>
      <c r="L1" t="s">
        <v>58</v>
      </c>
      <c r="O1" s="47"/>
      <c r="P1" s="47"/>
      <c r="Q1" s="47"/>
      <c r="R1" s="47"/>
      <c r="S1" s="47"/>
      <c r="T1" s="47"/>
      <c r="U1" s="47"/>
    </row>
    <row r="2" spans="1:21" x14ac:dyDescent="0.25">
      <c r="B2" t="s">
        <v>59</v>
      </c>
      <c r="C2" t="s">
        <v>60</v>
      </c>
      <c r="D2" t="s">
        <v>61</v>
      </c>
      <c r="E2" t="s">
        <v>62</v>
      </c>
      <c r="F2" t="s">
        <v>63</v>
      </c>
      <c r="G2" t="s">
        <v>1</v>
      </c>
      <c r="H2" t="s">
        <v>64</v>
      </c>
      <c r="I2" t="s">
        <v>65</v>
      </c>
      <c r="J2" t="s">
        <v>64</v>
      </c>
      <c r="K2" t="s">
        <v>65</v>
      </c>
      <c r="L2" t="s">
        <v>64</v>
      </c>
      <c r="M2" t="s">
        <v>65</v>
      </c>
      <c r="O2" s="47"/>
      <c r="P2" s="47"/>
      <c r="Q2" s="47"/>
      <c r="R2" s="47"/>
      <c r="S2" s="47"/>
      <c r="T2" s="47"/>
      <c r="U2" s="47"/>
    </row>
    <row r="3" spans="1:21" x14ac:dyDescent="0.25">
      <c r="B3" t="b">
        <v>0</v>
      </c>
      <c r="C3" t="s">
        <v>66</v>
      </c>
      <c r="D3" s="48">
        <v>45611.658275462964</v>
      </c>
      <c r="E3" t="s">
        <v>7</v>
      </c>
      <c r="G3" t="s">
        <v>67</v>
      </c>
      <c r="H3">
        <v>0</v>
      </c>
      <c r="I3" t="s">
        <v>68</v>
      </c>
      <c r="J3">
        <v>3.34</v>
      </c>
      <c r="K3">
        <v>173.2</v>
      </c>
      <c r="L3">
        <v>3.34</v>
      </c>
      <c r="M3">
        <v>173.2</v>
      </c>
      <c r="O3" s="47"/>
      <c r="P3" s="47"/>
      <c r="Q3" s="47"/>
      <c r="R3" s="47"/>
      <c r="S3" s="47"/>
      <c r="T3" s="47"/>
      <c r="U3" s="47"/>
    </row>
    <row r="4" spans="1:21" x14ac:dyDescent="0.25">
      <c r="B4" t="b">
        <v>0</v>
      </c>
      <c r="C4" t="s">
        <v>69</v>
      </c>
      <c r="D4" s="48">
        <v>45611.659756944442</v>
      </c>
      <c r="E4" t="s">
        <v>7</v>
      </c>
      <c r="G4" t="s">
        <v>49</v>
      </c>
      <c r="H4">
        <v>63911.49</v>
      </c>
      <c r="I4">
        <v>0.7</v>
      </c>
      <c r="J4">
        <v>48472.62</v>
      </c>
      <c r="K4">
        <v>1.4</v>
      </c>
      <c r="L4">
        <v>126909.97</v>
      </c>
      <c r="M4">
        <v>0.9</v>
      </c>
      <c r="O4" s="47"/>
      <c r="P4" s="47"/>
      <c r="Q4" s="47"/>
      <c r="R4" s="47"/>
      <c r="S4" s="47"/>
      <c r="T4" s="47"/>
      <c r="U4" s="47"/>
    </row>
    <row r="5" spans="1:21" x14ac:dyDescent="0.25">
      <c r="B5" t="b">
        <v>0</v>
      </c>
      <c r="C5" t="s">
        <v>70</v>
      </c>
      <c r="D5" s="48">
        <v>45611.661400462966</v>
      </c>
      <c r="E5" t="s">
        <v>7</v>
      </c>
      <c r="G5" t="s">
        <v>47</v>
      </c>
      <c r="H5">
        <v>30877.13</v>
      </c>
      <c r="I5">
        <v>0.2</v>
      </c>
      <c r="J5">
        <v>23854.85</v>
      </c>
      <c r="K5">
        <v>2.4</v>
      </c>
      <c r="L5">
        <v>62604.5</v>
      </c>
      <c r="M5">
        <v>1</v>
      </c>
      <c r="O5" s="47"/>
      <c r="P5" s="47"/>
      <c r="Q5" s="47"/>
      <c r="R5" s="47"/>
      <c r="S5" s="47"/>
      <c r="T5" s="47"/>
      <c r="U5" s="47"/>
    </row>
    <row r="6" spans="1:21" x14ac:dyDescent="0.25">
      <c r="B6" t="b">
        <v>0</v>
      </c>
      <c r="C6" t="s">
        <v>71</v>
      </c>
      <c r="D6" s="48">
        <v>45611.662881944445</v>
      </c>
      <c r="E6" t="s">
        <v>7</v>
      </c>
      <c r="G6" t="s">
        <v>50</v>
      </c>
      <c r="H6">
        <v>78577.149999999994</v>
      </c>
      <c r="I6">
        <v>0.2</v>
      </c>
      <c r="J6">
        <v>61387.3</v>
      </c>
      <c r="K6">
        <v>2.2999999999999998</v>
      </c>
      <c r="L6">
        <v>159931.73000000001</v>
      </c>
      <c r="M6">
        <v>1.4</v>
      </c>
      <c r="O6" s="47"/>
      <c r="P6" s="47"/>
      <c r="Q6" s="47"/>
      <c r="R6" s="47"/>
      <c r="S6" s="47"/>
      <c r="T6" s="47"/>
      <c r="U6" s="47"/>
    </row>
    <row r="7" spans="1:21" x14ac:dyDescent="0.25">
      <c r="B7" t="b">
        <v>0</v>
      </c>
      <c r="C7" t="s">
        <v>72</v>
      </c>
      <c r="D7" s="48">
        <v>45611.664363425924</v>
      </c>
      <c r="E7" t="s">
        <v>7</v>
      </c>
      <c r="G7" t="s">
        <v>48</v>
      </c>
      <c r="H7">
        <v>46572.98</v>
      </c>
      <c r="I7">
        <v>2.9</v>
      </c>
      <c r="J7">
        <v>36651.43</v>
      </c>
      <c r="K7">
        <v>1.2</v>
      </c>
      <c r="L7">
        <v>93436.34</v>
      </c>
      <c r="M7">
        <v>0.7</v>
      </c>
      <c r="O7" s="47"/>
      <c r="P7" s="47"/>
      <c r="Q7" s="47"/>
      <c r="R7" s="47"/>
      <c r="S7" s="47"/>
      <c r="T7" s="47"/>
      <c r="U7" s="47"/>
    </row>
    <row r="8" spans="1:21" x14ac:dyDescent="0.25">
      <c r="B8" t="b">
        <v>0</v>
      </c>
      <c r="C8" t="s">
        <v>73</v>
      </c>
      <c r="D8" s="48">
        <v>45611.666006944448</v>
      </c>
      <c r="E8" t="s">
        <v>7</v>
      </c>
      <c r="G8" t="s">
        <v>46</v>
      </c>
      <c r="H8">
        <v>7997.99</v>
      </c>
      <c r="I8">
        <v>2.8</v>
      </c>
      <c r="J8">
        <v>5861.21</v>
      </c>
      <c r="K8">
        <v>3.6</v>
      </c>
      <c r="L8">
        <v>15122.27</v>
      </c>
      <c r="M8">
        <v>3.3</v>
      </c>
      <c r="O8" s="47"/>
      <c r="P8" s="47"/>
      <c r="Q8" s="47"/>
      <c r="R8" s="47"/>
      <c r="S8" s="47"/>
      <c r="T8" s="47"/>
      <c r="U8" s="47"/>
    </row>
    <row r="9" spans="1:21" x14ac:dyDescent="0.25">
      <c r="B9" t="b">
        <v>0</v>
      </c>
      <c r="C9" t="s">
        <v>74</v>
      </c>
      <c r="D9" s="48">
        <v>45611.66747685185</v>
      </c>
      <c r="E9" t="s">
        <v>7</v>
      </c>
      <c r="G9" t="s">
        <v>67</v>
      </c>
      <c r="H9">
        <v>0</v>
      </c>
      <c r="I9" t="s">
        <v>68</v>
      </c>
      <c r="J9">
        <v>3.34</v>
      </c>
      <c r="K9">
        <v>173.2</v>
      </c>
      <c r="L9">
        <v>0</v>
      </c>
      <c r="M9" t="s">
        <v>68</v>
      </c>
      <c r="O9" s="47"/>
      <c r="P9" s="47"/>
      <c r="Q9" s="47"/>
      <c r="R9" s="47"/>
      <c r="S9" s="47"/>
      <c r="T9" s="47"/>
      <c r="U9" s="47"/>
    </row>
    <row r="10" spans="1:21" x14ac:dyDescent="0.25">
      <c r="B10" t="b">
        <v>0</v>
      </c>
      <c r="C10" t="s">
        <v>75</v>
      </c>
      <c r="D10" s="48">
        <v>45611.668946759259</v>
      </c>
      <c r="E10" t="s">
        <v>7</v>
      </c>
      <c r="G10" t="s">
        <v>67</v>
      </c>
      <c r="H10">
        <v>0</v>
      </c>
      <c r="I10" t="s">
        <v>68</v>
      </c>
      <c r="J10">
        <v>3.34</v>
      </c>
      <c r="K10">
        <v>173.2</v>
      </c>
      <c r="L10">
        <v>0</v>
      </c>
      <c r="M10" t="s">
        <v>68</v>
      </c>
      <c r="O10" s="47"/>
      <c r="P10" s="47"/>
      <c r="Q10" s="47"/>
      <c r="R10" s="47"/>
      <c r="S10" s="47"/>
      <c r="T10" s="47"/>
      <c r="U10" s="47"/>
    </row>
    <row r="11" spans="1:21" x14ac:dyDescent="0.25">
      <c r="O11" s="47"/>
      <c r="P11" s="47"/>
      <c r="Q11" s="47"/>
      <c r="R11" s="47"/>
      <c r="S11" s="47"/>
      <c r="T11" s="47"/>
      <c r="U11" s="47"/>
    </row>
    <row r="12" spans="1:21" x14ac:dyDescent="0.25">
      <c r="O12" s="47"/>
      <c r="P12" s="47"/>
      <c r="Q12" s="47"/>
      <c r="R12" s="47"/>
      <c r="S12" s="47"/>
      <c r="T12" s="47"/>
      <c r="U12" s="47"/>
    </row>
    <row r="13" spans="1:21" x14ac:dyDescent="0.25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</row>
    <row r="14" spans="1:21" x14ac:dyDescent="0.25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</row>
    <row r="15" spans="1:21" x14ac:dyDescent="0.25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</row>
    <row r="16" spans="1:21" x14ac:dyDescent="0.25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</row>
    <row r="17" spans="1:21" x14ac:dyDescent="0.25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</row>
    <row r="18" spans="1:21" x14ac:dyDescent="0.25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</row>
    <row r="19" spans="1:21" x14ac:dyDescent="0.25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</row>
    <row r="20" spans="1:21" x14ac:dyDescent="0.25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</row>
    <row r="21" spans="1:21" x14ac:dyDescent="0.25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</row>
    <row r="22" spans="1:21" x14ac:dyDescent="0.25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</row>
    <row r="23" spans="1:21" x14ac:dyDescent="0.25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</row>
    <row r="24" spans="1:21" x14ac:dyDescent="0.25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</row>
    <row r="25" spans="1:21" x14ac:dyDescent="0.25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</row>
    <row r="26" spans="1:21" x14ac:dyDescent="0.25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</row>
    <row r="27" spans="1:21" x14ac:dyDescent="0.25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</row>
    <row r="28" spans="1:21" x14ac:dyDescent="0.25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</row>
    <row r="29" spans="1:21" x14ac:dyDescent="0.25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0DAC2-0826-4F70-B123-7E1962D602C7}">
  <dimension ref="A1:T37"/>
  <sheetViews>
    <sheetView tabSelected="1" zoomScaleNormal="100" workbookViewId="0">
      <selection activeCell="E46" sqref="E46"/>
    </sheetView>
  </sheetViews>
  <sheetFormatPr defaultRowHeight="15" x14ac:dyDescent="0.25"/>
  <cols>
    <col min="1" max="1" width="11.5703125" bestFit="1" customWidth="1"/>
    <col min="2" max="2" width="10.28515625" bestFit="1" customWidth="1"/>
    <col min="3" max="3" width="10" bestFit="1" customWidth="1"/>
    <col min="4" max="4" width="24.28515625" customWidth="1"/>
    <col min="5" max="6" width="11.5703125" bestFit="1" customWidth="1"/>
    <col min="7" max="8" width="13" bestFit="1" customWidth="1"/>
    <col min="9" max="9" width="14.28515625" customWidth="1"/>
    <col min="10" max="10" width="16" bestFit="1" customWidth="1"/>
    <col min="11" max="11" width="13.7109375" bestFit="1" customWidth="1"/>
    <col min="12" max="12" width="12.5703125" bestFit="1" customWidth="1"/>
    <col min="13" max="13" width="13.7109375" bestFit="1" customWidth="1"/>
    <col min="14" max="14" width="13" bestFit="1" customWidth="1"/>
    <col min="15" max="15" width="10.5703125" customWidth="1"/>
    <col min="16" max="16" width="13" bestFit="1" customWidth="1"/>
  </cols>
  <sheetData>
    <row r="1" spans="1:20" x14ac:dyDescent="0.25">
      <c r="A1" s="47"/>
      <c r="B1" s="49"/>
      <c r="C1" s="49"/>
      <c r="D1" s="47" t="s">
        <v>56</v>
      </c>
      <c r="E1" s="47" t="s">
        <v>57</v>
      </c>
      <c r="F1" s="47" t="s">
        <v>58</v>
      </c>
      <c r="H1" s="49"/>
      <c r="I1" s="58" t="s">
        <v>56</v>
      </c>
      <c r="J1" s="49"/>
      <c r="K1" s="58" t="s">
        <v>57</v>
      </c>
      <c r="L1" s="49"/>
      <c r="M1" s="59" t="s">
        <v>58</v>
      </c>
      <c r="N1" s="49"/>
      <c r="O1" s="49"/>
      <c r="P1" s="49"/>
      <c r="Q1" s="49"/>
      <c r="R1" s="49"/>
      <c r="S1" s="49"/>
      <c r="T1" s="49"/>
    </row>
    <row r="2" spans="1:20" x14ac:dyDescent="0.25">
      <c r="A2" s="50" t="s">
        <v>76</v>
      </c>
      <c r="B2" s="51" t="s">
        <v>7</v>
      </c>
      <c r="C2" s="51" t="s">
        <v>77</v>
      </c>
      <c r="D2" s="50" t="s">
        <v>64</v>
      </c>
      <c r="E2" s="50" t="s">
        <v>78</v>
      </c>
      <c r="F2" s="50" t="s">
        <v>79</v>
      </c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60" t="s">
        <v>80</v>
      </c>
    </row>
    <row r="3" spans="1:20" x14ac:dyDescent="0.25">
      <c r="A3" s="52" t="s">
        <v>46</v>
      </c>
      <c r="B3" s="53">
        <v>1.0098</v>
      </c>
      <c r="C3" s="53">
        <v>0</v>
      </c>
      <c r="D3" s="52">
        <v>7997.99</v>
      </c>
      <c r="E3" s="52">
        <v>5861.21</v>
      </c>
      <c r="F3" s="52">
        <v>15122.27</v>
      </c>
      <c r="H3" s="49" t="s">
        <v>81</v>
      </c>
      <c r="I3">
        <f>INTERCEPT(D3:D7,$C$3:$C$7)</f>
        <v>9578.9291227894209</v>
      </c>
      <c r="K3">
        <f>INTERCEPT(E3:E7,$C$3:$C$7)</f>
        <v>7190.2870589212362</v>
      </c>
      <c r="M3">
        <f>INTERCEPT(F3:F7,$C$3:$C$7)</f>
        <v>18455.071086618074</v>
      </c>
      <c r="N3" s="49"/>
      <c r="O3" s="49"/>
      <c r="P3" t="s">
        <v>82</v>
      </c>
      <c r="Q3">
        <f>AVERAGE(B3:B7)</f>
        <v>1.0081599999999997</v>
      </c>
      <c r="S3" t="s">
        <v>83</v>
      </c>
      <c r="T3">
        <f>Prep!R9</f>
        <v>0.11029230709589707</v>
      </c>
    </row>
    <row r="4" spans="1:20" x14ac:dyDescent="0.25">
      <c r="A4" s="47" t="s">
        <v>47</v>
      </c>
      <c r="B4" s="49">
        <v>1.0074000000000001</v>
      </c>
      <c r="C4" s="49">
        <v>0.54469999999999996</v>
      </c>
      <c r="D4" s="47">
        <v>30877.13</v>
      </c>
      <c r="E4" s="47">
        <v>23854.85</v>
      </c>
      <c r="F4" s="47">
        <v>62604.5</v>
      </c>
      <c r="H4" s="49" t="s">
        <v>84</v>
      </c>
      <c r="I4">
        <f>SLOPE(D3:D7,$C$3:$C$7)</f>
        <v>34608.83748914938</v>
      </c>
      <c r="K4">
        <f>SLOPE(E3:E7,$C$3:$C$7)</f>
        <v>26964.740822227872</v>
      </c>
      <c r="M4">
        <f>SLOPE(F3:F7,$C$3:$C$7)</f>
        <v>70302.843905830159</v>
      </c>
      <c r="N4" s="49"/>
      <c r="O4" s="49"/>
      <c r="P4" s="49"/>
      <c r="Q4" s="49"/>
      <c r="R4" s="49"/>
      <c r="S4" s="49"/>
      <c r="T4" s="49"/>
    </row>
    <row r="5" spans="1:20" x14ac:dyDescent="0.25">
      <c r="A5" s="52" t="s">
        <v>48</v>
      </c>
      <c r="B5" s="53">
        <v>1.0085</v>
      </c>
      <c r="C5" s="53">
        <v>1.0947</v>
      </c>
      <c r="D5" s="52">
        <v>46572.98</v>
      </c>
      <c r="E5" s="52">
        <v>36651.43</v>
      </c>
      <c r="F5" s="52">
        <v>93436.34</v>
      </c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</row>
    <row r="6" spans="1:20" x14ac:dyDescent="0.25">
      <c r="A6" s="47" t="s">
        <v>49</v>
      </c>
      <c r="B6" s="49">
        <v>1.0073000000000001</v>
      </c>
      <c r="C6" s="49">
        <v>1.5448999999999999</v>
      </c>
      <c r="D6" s="47">
        <v>63911.49</v>
      </c>
      <c r="E6" s="47">
        <v>48472.62</v>
      </c>
      <c r="F6" s="47">
        <v>126909.97</v>
      </c>
      <c r="H6" s="61" t="s">
        <v>85</v>
      </c>
      <c r="I6" s="61">
        <f>I3*$T$3/(I4*Q3)</f>
        <v>3.0279291386715156E-2</v>
      </c>
      <c r="J6" s="61"/>
      <c r="K6" s="61">
        <f>K3*$T$3/(K4*$Q$3)</f>
        <v>2.9171968634020114E-2</v>
      </c>
      <c r="L6" s="61"/>
      <c r="M6" s="61">
        <f>M3*$T$3/(M4*$Q$3)</f>
        <v>2.8718290741898383E-2</v>
      </c>
      <c r="N6" s="61"/>
      <c r="O6" s="49"/>
      <c r="P6" s="49"/>
      <c r="Q6" s="49"/>
      <c r="R6" s="49"/>
      <c r="S6" s="49"/>
      <c r="T6" s="49"/>
    </row>
    <row r="7" spans="1:20" x14ac:dyDescent="0.25">
      <c r="A7" s="54" t="s">
        <v>50</v>
      </c>
      <c r="B7" s="55">
        <v>1.0078</v>
      </c>
      <c r="C7" s="55">
        <v>2.0179</v>
      </c>
      <c r="D7" s="56">
        <v>78577.149999999994</v>
      </c>
      <c r="E7" s="56">
        <v>61387.3</v>
      </c>
      <c r="F7" s="57">
        <v>159931.73000000001</v>
      </c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</row>
    <row r="8" spans="1:20" x14ac:dyDescent="0.25">
      <c r="H8" s="49"/>
      <c r="I8" s="49"/>
      <c r="J8" s="49"/>
      <c r="K8" s="47"/>
      <c r="L8" s="47"/>
      <c r="M8" s="47"/>
      <c r="N8" s="47"/>
      <c r="O8" s="49"/>
      <c r="P8" s="49"/>
      <c r="Q8" s="49"/>
      <c r="R8" s="49"/>
      <c r="S8" s="49"/>
      <c r="T8" s="49"/>
    </row>
    <row r="9" spans="1:20" x14ac:dyDescent="0.25">
      <c r="A9" t="s">
        <v>7</v>
      </c>
      <c r="B9" s="47" t="s">
        <v>56</v>
      </c>
      <c r="C9" s="47" t="s">
        <v>57</v>
      </c>
      <c r="D9" s="47" t="s">
        <v>58</v>
      </c>
      <c r="E9" s="49" t="s">
        <v>86</v>
      </c>
      <c r="F9" s="49">
        <v>147</v>
      </c>
      <c r="G9" s="49">
        <v>148</v>
      </c>
      <c r="H9" s="49">
        <v>152</v>
      </c>
      <c r="I9" s="49" t="s">
        <v>87</v>
      </c>
      <c r="J9" s="62" t="s">
        <v>88</v>
      </c>
      <c r="K9" s="62" t="s">
        <v>89</v>
      </c>
      <c r="L9" s="62" t="s">
        <v>90</v>
      </c>
      <c r="M9" s="47"/>
      <c r="N9" s="47"/>
    </row>
    <row r="10" spans="1:20" x14ac:dyDescent="0.25">
      <c r="A10" t="s">
        <v>91</v>
      </c>
      <c r="B10" s="49">
        <f>I6</f>
        <v>3.0279291386715156E-2</v>
      </c>
      <c r="C10" s="63">
        <f>K6</f>
        <v>2.9171968634020114E-2</v>
      </c>
      <c r="D10" s="63">
        <f>M6</f>
        <v>2.8718290741898383E-2</v>
      </c>
      <c r="E10" s="64">
        <f>Prep!I12</f>
        <v>1004.9644558280714</v>
      </c>
      <c r="F10">
        <f>B10*E10</f>
        <v>30.429611591309808</v>
      </c>
      <c r="G10">
        <f>C10*E10</f>
        <v>29.316791583721592</v>
      </c>
      <c r="H10">
        <f>D10*$E10</f>
        <v>28.860861427744251</v>
      </c>
      <c r="I10">
        <f>Prep!K3</f>
        <v>5363.0012833253568</v>
      </c>
      <c r="J10">
        <f>(F10/$I10)*100</f>
        <v>0.56739892429117167</v>
      </c>
      <c r="K10">
        <f>(G10/$I10)*100</f>
        <v>0.54664897573068572</v>
      </c>
      <c r="L10">
        <f>(H10/$I10)*100</f>
        <v>0.53814757638560407</v>
      </c>
      <c r="M10" s="47"/>
      <c r="N10" s="47"/>
    </row>
    <row r="11" spans="1:20" x14ac:dyDescent="0.25">
      <c r="M11" s="47"/>
      <c r="N11" s="47"/>
    </row>
    <row r="12" spans="1:20" x14ac:dyDescent="0.25">
      <c r="J12" s="47"/>
    </row>
    <row r="13" spans="1:20" x14ac:dyDescent="0.25">
      <c r="A13" s="17"/>
      <c r="B13" s="65"/>
      <c r="C13" s="65"/>
      <c r="D13" s="65"/>
      <c r="E13" s="84" t="s">
        <v>105</v>
      </c>
      <c r="F13" s="84"/>
      <c r="G13" s="84"/>
      <c r="H13" s="84" t="s">
        <v>106</v>
      </c>
      <c r="I13" s="84"/>
      <c r="J13" s="84"/>
      <c r="K13" s="84" t="s">
        <v>107</v>
      </c>
      <c r="L13" s="84"/>
      <c r="M13" s="84"/>
    </row>
    <row r="14" spans="1:20" x14ac:dyDescent="0.25">
      <c r="A14" s="13" t="s">
        <v>92</v>
      </c>
      <c r="B14" s="12" t="s">
        <v>93</v>
      </c>
      <c r="C14" s="12" t="s">
        <v>94</v>
      </c>
      <c r="D14" s="12" t="s">
        <v>95</v>
      </c>
      <c r="E14" s="66" t="s">
        <v>96</v>
      </c>
      <c r="F14" s="66" t="s">
        <v>97</v>
      </c>
      <c r="G14" s="66" t="s">
        <v>98</v>
      </c>
      <c r="H14" s="66" t="s">
        <v>96</v>
      </c>
      <c r="I14" s="66" t="s">
        <v>97</v>
      </c>
      <c r="J14" s="66" t="s">
        <v>98</v>
      </c>
      <c r="K14" s="66" t="s">
        <v>96</v>
      </c>
      <c r="L14" s="66" t="s">
        <v>97</v>
      </c>
      <c r="M14" s="67" t="s">
        <v>98</v>
      </c>
      <c r="Q14" s="47"/>
    </row>
    <row r="15" spans="1:20" x14ac:dyDescent="0.25">
      <c r="A15" s="9" t="s">
        <v>99</v>
      </c>
      <c r="D15">
        <v>-100</v>
      </c>
      <c r="F15">
        <f>$F$22*D15+$F$21</f>
        <v>-31612043.264305733</v>
      </c>
      <c r="I15">
        <f>$I$22*D15+$I$21</f>
        <v>-24629667.03737136</v>
      </c>
      <c r="L15">
        <f>$L$22*D15+$L$21</f>
        <v>-64215885.281776294</v>
      </c>
      <c r="M15" s="68"/>
    </row>
    <row r="16" spans="1:20" x14ac:dyDescent="0.25">
      <c r="A16" s="69" t="s">
        <v>46</v>
      </c>
      <c r="B16" s="70">
        <f t="shared" ref="B16:C19" si="0">B3</f>
        <v>1.0098</v>
      </c>
      <c r="C16" s="70">
        <f t="shared" si="0"/>
        <v>0</v>
      </c>
      <c r="D16" s="70">
        <f>C16*$T$3/B16</f>
        <v>0</v>
      </c>
      <c r="E16" s="70">
        <f>D3</f>
        <v>7997.99</v>
      </c>
      <c r="F16" s="70">
        <f t="shared" ref="F16:F20" si="1">$F$22*D16+$F$21</f>
        <v>9580.0177849676347</v>
      </c>
      <c r="G16" s="70">
        <f>E16-F16</f>
        <v>-1582.0277849676349</v>
      </c>
      <c r="H16" s="70">
        <f>E3</f>
        <v>5861.21</v>
      </c>
      <c r="I16" s="70">
        <f t="shared" ref="I16:I20" si="2">$I$22*D16+$I$21</f>
        <v>7191.6561871464492</v>
      </c>
      <c r="J16" s="70">
        <f>H16-I16</f>
        <v>-1330.4461871464491</v>
      </c>
      <c r="K16" s="70">
        <f>F3</f>
        <v>15122.27</v>
      </c>
      <c r="L16" s="70">
        <f t="shared" ref="L16:L20" si="3">$L$22*D16+$L$21</f>
        <v>18457.745815968952</v>
      </c>
      <c r="M16" s="71">
        <f>K16-L16</f>
        <v>-3335.4758159689518</v>
      </c>
    </row>
    <row r="17" spans="1:13" x14ac:dyDescent="0.25">
      <c r="A17" s="72" t="s">
        <v>47</v>
      </c>
      <c r="B17" s="73">
        <f t="shared" si="0"/>
        <v>1.0074000000000001</v>
      </c>
      <c r="C17" s="73">
        <f t="shared" si="0"/>
        <v>0.54469999999999996</v>
      </c>
      <c r="D17" s="73">
        <f t="shared" ref="D17:D20" si="4">C17*$T$3/B17</f>
        <v>5.9634921257827211E-2</v>
      </c>
      <c r="E17" s="73">
        <f t="shared" ref="E17:E20" si="5">D4</f>
        <v>30877.13</v>
      </c>
      <c r="F17" s="73">
        <f t="shared" si="1"/>
        <v>28437.547929689179</v>
      </c>
      <c r="G17" s="73">
        <f t="shared" ref="G17:G20" si="6">E17-F17</f>
        <v>2439.582070310822</v>
      </c>
      <c r="H17" s="73">
        <f t="shared" ref="H17:H20" si="7">E4</f>
        <v>23854.85</v>
      </c>
      <c r="I17" s="73">
        <f t="shared" si="2"/>
        <v>21883.827469452222</v>
      </c>
      <c r="J17" s="73">
        <f t="shared" ref="J17:J20" si="8">H17-I17</f>
        <v>1971.0225305477761</v>
      </c>
      <c r="K17" s="73">
        <f t="shared" ref="K17:K20" si="9">F4</f>
        <v>62604.5</v>
      </c>
      <c r="L17" s="73">
        <f t="shared" si="3"/>
        <v>56763.845700956226</v>
      </c>
      <c r="M17" s="74">
        <f t="shared" ref="M17:M20" si="10">K17-L17</f>
        <v>5840.6542990437738</v>
      </c>
    </row>
    <row r="18" spans="1:13" x14ac:dyDescent="0.25">
      <c r="A18" s="69" t="s">
        <v>48</v>
      </c>
      <c r="B18" s="70">
        <f t="shared" si="0"/>
        <v>1.0085</v>
      </c>
      <c r="C18" s="70">
        <f t="shared" si="0"/>
        <v>1.0947</v>
      </c>
      <c r="D18" s="70">
        <f t="shared" si="4"/>
        <v>0.11971937389973082</v>
      </c>
      <c r="E18" s="70">
        <f t="shared" si="5"/>
        <v>46572.98</v>
      </c>
      <c r="F18" s="70">
        <f t="shared" si="1"/>
        <v>47437.227195218133</v>
      </c>
      <c r="G18" s="70">
        <f t="shared" si="6"/>
        <v>-864.24719521812949</v>
      </c>
      <c r="H18" s="70">
        <f t="shared" si="7"/>
        <v>36651.43</v>
      </c>
      <c r="I18" s="70">
        <f t="shared" si="2"/>
        <v>36686.749163636094</v>
      </c>
      <c r="J18" s="70">
        <f t="shared" si="8"/>
        <v>-35.319163636093435</v>
      </c>
      <c r="K18" s="70">
        <f t="shared" si="9"/>
        <v>93436.34</v>
      </c>
      <c r="L18" s="70">
        <f t="shared" si="3"/>
        <v>95358.699117207812</v>
      </c>
      <c r="M18" s="71">
        <f t="shared" si="10"/>
        <v>-1922.3591172078159</v>
      </c>
    </row>
    <row r="19" spans="1:13" x14ac:dyDescent="0.25">
      <c r="A19" s="72" t="s">
        <v>49</v>
      </c>
      <c r="B19" s="73">
        <f t="shared" si="0"/>
        <v>1.0073000000000001</v>
      </c>
      <c r="C19" s="73">
        <f t="shared" si="0"/>
        <v>1.5448999999999999</v>
      </c>
      <c r="D19" s="73">
        <f t="shared" si="4"/>
        <v>0.16915574827007979</v>
      </c>
      <c r="E19" s="73">
        <f t="shared" si="5"/>
        <v>63911.49</v>
      </c>
      <c r="F19" s="73">
        <f t="shared" si="1"/>
        <v>63069.811262933923</v>
      </c>
      <c r="G19" s="73">
        <f t="shared" si="6"/>
        <v>841.67873706607497</v>
      </c>
      <c r="H19" s="73">
        <f>E6</f>
        <v>48472.62</v>
      </c>
      <c r="I19" s="73">
        <f t="shared" si="2"/>
        <v>48866.31886047755</v>
      </c>
      <c r="J19" s="73">
        <f t="shared" si="8"/>
        <v>-393.69886047754699</v>
      </c>
      <c r="K19" s="73">
        <f t="shared" si="9"/>
        <v>126909.97</v>
      </c>
      <c r="L19" s="73">
        <f t="shared" si="3"/>
        <v>127113.82941066247</v>
      </c>
      <c r="M19" s="74">
        <f t="shared" si="10"/>
        <v>-203.85941066246596</v>
      </c>
    </row>
    <row r="20" spans="1:13" x14ac:dyDescent="0.25">
      <c r="A20" s="75" t="s">
        <v>50</v>
      </c>
      <c r="B20" s="76">
        <f>B7</f>
        <v>1.0078</v>
      </c>
      <c r="C20" s="76">
        <f t="shared" ref="C20" si="11">C7</f>
        <v>2.0179</v>
      </c>
      <c r="D20" s="76">
        <f t="shared" si="4"/>
        <v>0.22083632316809954</v>
      </c>
      <c r="E20" s="76">
        <f t="shared" si="5"/>
        <v>78577.149999999994</v>
      </c>
      <c r="F20" s="76">
        <f t="shared" si="1"/>
        <v>79412.04796720446</v>
      </c>
      <c r="G20" s="76">
        <f t="shared" si="6"/>
        <v>-834.89796720446611</v>
      </c>
      <c r="H20" s="76">
        <f t="shared" si="7"/>
        <v>61387.3</v>
      </c>
      <c r="I20" s="76">
        <f t="shared" si="2"/>
        <v>61598.78907012134</v>
      </c>
      <c r="J20" s="76">
        <f t="shared" si="8"/>
        <v>-211.48907012133714</v>
      </c>
      <c r="K20" s="76">
        <f t="shared" si="9"/>
        <v>159931.73000000001</v>
      </c>
      <c r="L20" s="76">
        <f t="shared" si="3"/>
        <v>160310.50716928823</v>
      </c>
      <c r="M20" s="77">
        <f t="shared" si="10"/>
        <v>-378.77716928822338</v>
      </c>
    </row>
    <row r="21" spans="1:13" x14ac:dyDescent="0.25">
      <c r="A21" s="9"/>
      <c r="E21" t="s">
        <v>100</v>
      </c>
      <c r="F21">
        <v>9580.0177849676347</v>
      </c>
      <c r="G21" s="49">
        <f>SUMSQ(G16:G20)</f>
        <v>10606773.516705334</v>
      </c>
      <c r="H21" t="s">
        <v>100</v>
      </c>
      <c r="I21">
        <v>7191.6561871464492</v>
      </c>
      <c r="J21" s="49">
        <f>SUMSQ(J16:J20)</f>
        <v>5855990.735661543</v>
      </c>
      <c r="K21" t="s">
        <v>100</v>
      </c>
      <c r="L21">
        <v>18457.745815968952</v>
      </c>
      <c r="M21" s="78">
        <f>SUMSQ(M16:M20)</f>
        <v>49119136.938653916</v>
      </c>
    </row>
    <row r="22" spans="1:13" x14ac:dyDescent="0.25">
      <c r="A22" s="9"/>
      <c r="E22" t="s">
        <v>101</v>
      </c>
      <c r="F22">
        <v>316216.23282090703</v>
      </c>
      <c r="H22" t="s">
        <v>101</v>
      </c>
      <c r="I22">
        <v>246368.58693558507</v>
      </c>
      <c r="K22" t="s">
        <v>101</v>
      </c>
      <c r="L22">
        <v>642343.43027592264</v>
      </c>
      <c r="M22" s="68"/>
    </row>
    <row r="23" spans="1:13" x14ac:dyDescent="0.25">
      <c r="A23" s="9"/>
      <c r="E23" t="s">
        <v>102</v>
      </c>
      <c r="F23">
        <f>F21/F22</f>
        <v>3.0295781147938083E-2</v>
      </c>
      <c r="H23" t="s">
        <v>102</v>
      </c>
      <c r="I23">
        <f>I21/I22</f>
        <v>2.9190637802483974E-2</v>
      </c>
      <c r="K23" t="s">
        <v>102</v>
      </c>
      <c r="L23">
        <f>L21/L22</f>
        <v>2.8735011437791638E-2</v>
      </c>
      <c r="M23" s="68"/>
    </row>
    <row r="24" spans="1:13" x14ac:dyDescent="0.25">
      <c r="A24" s="9"/>
      <c r="E24" t="s">
        <v>103</v>
      </c>
      <c r="F24">
        <f>F23*$E$10/$I$10</f>
        <v>5.6770792335790058E-3</v>
      </c>
      <c r="H24" t="s">
        <v>103</v>
      </c>
      <c r="I24">
        <f>I23*$E$10/$I$10</f>
        <v>5.4699881437018736E-3</v>
      </c>
      <c r="K24" t="s">
        <v>103</v>
      </c>
      <c r="L24">
        <f>L23*$E$10/$I$10</f>
        <v>5.3846090290114446E-3</v>
      </c>
      <c r="M24" s="68"/>
    </row>
    <row r="25" spans="1:13" x14ac:dyDescent="0.25">
      <c r="A25" s="9"/>
      <c r="E25" t="s">
        <v>108</v>
      </c>
      <c r="F25" s="80">
        <f>F24*256.76/150.36</f>
        <v>9.6943792498918949E-3</v>
      </c>
      <c r="H25" t="s">
        <v>108</v>
      </c>
      <c r="I25" s="80">
        <f>I24*256.76/150.36</f>
        <v>9.340743254701335E-3</v>
      </c>
      <c r="K25" t="s">
        <v>108</v>
      </c>
      <c r="L25" s="80">
        <f>L24*256.76/150.36</f>
        <v>9.1949468893919827E-3</v>
      </c>
      <c r="M25" s="68"/>
    </row>
    <row r="26" spans="1:13" x14ac:dyDescent="0.25">
      <c r="A26" s="9"/>
      <c r="M26" s="68"/>
    </row>
    <row r="27" spans="1:13" x14ac:dyDescent="0.25">
      <c r="A27" s="9"/>
      <c r="E27" s="81">
        <f>AVERAGE(F25,I25,L25)</f>
        <v>9.4100231313284047E-3</v>
      </c>
      <c r="M27" s="68"/>
    </row>
    <row r="28" spans="1:13" x14ac:dyDescent="0.25">
      <c r="A28" s="9"/>
      <c r="M28" s="68"/>
    </row>
    <row r="29" spans="1:13" x14ac:dyDescent="0.25">
      <c r="A29" s="9"/>
      <c r="M29" s="68"/>
    </row>
    <row r="30" spans="1:13" x14ac:dyDescent="0.25">
      <c r="A30" s="9"/>
      <c r="M30" s="68"/>
    </row>
    <row r="31" spans="1:13" x14ac:dyDescent="0.25">
      <c r="A31" s="9"/>
      <c r="M31" s="68"/>
    </row>
    <row r="32" spans="1:13" x14ac:dyDescent="0.25">
      <c r="A32" s="9"/>
      <c r="M32" s="68"/>
    </row>
    <row r="33" spans="1:13" x14ac:dyDescent="0.25">
      <c r="A33" s="9"/>
      <c r="M33" s="68"/>
    </row>
    <row r="34" spans="1:13" x14ac:dyDescent="0.25">
      <c r="A34" s="9"/>
      <c r="M34" s="68"/>
    </row>
    <row r="35" spans="1:13" x14ac:dyDescent="0.25">
      <c r="A35" s="9"/>
      <c r="M35" s="68"/>
    </row>
    <row r="36" spans="1:13" x14ac:dyDescent="0.25">
      <c r="A36" s="9"/>
      <c r="B36" t="s">
        <v>104</v>
      </c>
      <c r="M36" s="68"/>
    </row>
    <row r="37" spans="1:13" x14ac:dyDescent="0.25">
      <c r="A37" s="13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79"/>
    </row>
  </sheetData>
  <mergeCells count="3">
    <mergeCell ref="E13:G13"/>
    <mergeCell ref="H13:J13"/>
    <mergeCell ref="K13:M13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Prep</vt:lpstr>
      <vt:lpstr>Randomizer</vt:lpstr>
      <vt:lpstr>Full</vt:lpstr>
      <vt:lpstr>Calculations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2012-08-24T00:51:46Z</dcterms:created>
  <dcterms:modified xsi:type="dcterms:W3CDTF">2024-12-09T18:31:41Z</dcterms:modified>
  <cp:category/>
  <cp:contentStatus/>
</cp:coreProperties>
</file>