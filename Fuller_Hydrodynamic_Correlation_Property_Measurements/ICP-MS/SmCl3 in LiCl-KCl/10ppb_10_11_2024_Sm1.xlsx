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3234" documentId="11_4AB480A97D773D78B6F332151CC35944F734729B" xr6:coauthVersionLast="47" xr6:coauthVersionMax="47" xr10:uidLastSave="{659F156B-6B00-4BDE-81BC-7A646EC3538A}"/>
  <bookViews>
    <workbookView xWindow="19200" yWindow="0" windowWidth="19200" windowHeight="21000" firstSheet="3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Calculations!$L$21:$L$22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Calculations!$M$21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J12" i="1"/>
  <c r="K12" i="1"/>
  <c r="I23" i="1"/>
  <c r="I12" i="1"/>
  <c r="K3" i="1"/>
  <c r="D17" i="5" l="1"/>
  <c r="B13" i="1" l="1"/>
  <c r="D11" i="5"/>
  <c r="C11" i="5"/>
  <c r="B11" i="5"/>
  <c r="D18" i="5" l="1"/>
  <c r="I18" i="5" s="1"/>
  <c r="D19" i="5"/>
  <c r="D20" i="5"/>
  <c r="L20" i="5" s="1"/>
  <c r="D16" i="5"/>
  <c r="F16" i="5" s="1"/>
  <c r="H19" i="5"/>
  <c r="L17" i="5"/>
  <c r="L19" i="5"/>
  <c r="L15" i="5"/>
  <c r="I17" i="5"/>
  <c r="I19" i="5"/>
  <c r="I20" i="5"/>
  <c r="I15" i="5"/>
  <c r="F17" i="5"/>
  <c r="F19" i="5"/>
  <c r="F20" i="5"/>
  <c r="F15" i="5"/>
  <c r="E16" i="5"/>
  <c r="L23" i="5"/>
  <c r="I23" i="5"/>
  <c r="F23" i="5"/>
  <c r="K17" i="5"/>
  <c r="K18" i="5"/>
  <c r="K19" i="5"/>
  <c r="K20" i="5"/>
  <c r="K16" i="5"/>
  <c r="H17" i="5"/>
  <c r="H18" i="5"/>
  <c r="H20" i="5"/>
  <c r="H16" i="5"/>
  <c r="E17" i="5"/>
  <c r="E18" i="5"/>
  <c r="E19" i="5"/>
  <c r="E20" i="5"/>
  <c r="R3" i="5"/>
  <c r="C17" i="5"/>
  <c r="C18" i="5"/>
  <c r="C19" i="5"/>
  <c r="C20" i="5"/>
  <c r="C16" i="5"/>
  <c r="B20" i="5"/>
  <c r="B17" i="5"/>
  <c r="B18" i="5"/>
  <c r="B19" i="5"/>
  <c r="B16" i="5"/>
  <c r="J4" i="5"/>
  <c r="J3" i="5"/>
  <c r="J5" i="5" s="1"/>
  <c r="U3" i="5"/>
  <c r="R8" i="1"/>
  <c r="F3" i="1"/>
  <c r="I2" i="1"/>
  <c r="N4" i="5"/>
  <c r="L4" i="5"/>
  <c r="N3" i="5"/>
  <c r="N5" i="5" s="1"/>
  <c r="L3" i="5"/>
  <c r="AA8" i="1"/>
  <c r="Z8" i="1"/>
  <c r="AD8" i="1" s="1"/>
  <c r="Y8" i="1"/>
  <c r="AC8" i="1" s="1"/>
  <c r="Y9" i="1" s="1"/>
  <c r="Y10" i="1" s="1"/>
  <c r="S8" i="1"/>
  <c r="U8" i="1"/>
  <c r="R9" i="1" s="1"/>
  <c r="U17" i="1"/>
  <c r="U16" i="1"/>
  <c r="U15" i="1"/>
  <c r="U14" i="1"/>
  <c r="U13" i="1"/>
  <c r="E5" i="2"/>
  <c r="E2" i="2"/>
  <c r="E6" i="2"/>
  <c r="E9" i="2"/>
  <c r="E7" i="2"/>
  <c r="E4" i="2"/>
  <c r="E3" i="2"/>
  <c r="E8" i="2"/>
  <c r="E10" i="2"/>
  <c r="E11" i="2"/>
  <c r="U22" i="1"/>
  <c r="U21" i="1"/>
  <c r="U20" i="1"/>
  <c r="U19" i="1"/>
  <c r="U18" i="1"/>
  <c r="F13" i="1"/>
  <c r="E13" i="1"/>
  <c r="D13" i="1"/>
  <c r="C13" i="1"/>
  <c r="I7" i="1"/>
  <c r="L3" i="1"/>
  <c r="F18" i="5" l="1"/>
  <c r="L18" i="5"/>
  <c r="M18" i="5" s="1"/>
  <c r="L16" i="5"/>
  <c r="M16" i="5" s="1"/>
  <c r="I16" i="5"/>
  <c r="J16" i="5" s="1"/>
  <c r="J6" i="5"/>
  <c r="L5" i="5"/>
  <c r="L6" i="5" s="1"/>
  <c r="N6" i="5"/>
  <c r="J17" i="5"/>
  <c r="M20" i="5"/>
  <c r="M17" i="5"/>
  <c r="J18" i="5"/>
  <c r="M19" i="5"/>
  <c r="J19" i="5"/>
  <c r="E11" i="5"/>
  <c r="I11" i="5"/>
  <c r="F11" i="5" l="1"/>
  <c r="J11" i="5" s="1"/>
  <c r="L24" i="5"/>
  <c r="L25" i="5" s="1"/>
  <c r="I24" i="5"/>
  <c r="I25" i="5" s="1"/>
  <c r="F24" i="5"/>
  <c r="F25" i="5" s="1"/>
  <c r="E27" i="5" s="1"/>
  <c r="M21" i="5"/>
  <c r="G17" i="5"/>
  <c r="G18" i="5"/>
  <c r="J20" i="5"/>
  <c r="J21" i="5" s="1"/>
  <c r="G16" i="5"/>
  <c r="G19" i="5"/>
  <c r="G20" i="5"/>
  <c r="H11" i="5"/>
  <c r="L11" i="5" s="1"/>
  <c r="G11" i="5"/>
  <c r="K11" i="5" s="1"/>
  <c r="K7" i="1"/>
  <c r="J7" i="1" s="1"/>
  <c r="G21" i="5" l="1"/>
</calcChain>
</file>

<file path=xl/sharedStrings.xml><?xml version="1.0" encoding="utf-8"?>
<sst xmlns="http://schemas.openxmlformats.org/spreadsheetml/2006/main" count="268" uniqueCount="127">
  <si>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</si>
  <si>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</si>
  <si>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</si>
  <si>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</si>
  <si>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</si>
  <si>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</si>
  <si>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</si>
  <si>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</si>
  <si>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</si>
  <si>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</si>
  <si>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</si>
  <si>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Sm PPM</t>
  </si>
  <si>
    <t xml:space="preserve"> Sm Standard Preperetion</t>
  </si>
  <si>
    <t>Cr Standard Preperetion</t>
  </si>
  <si>
    <t>B15</t>
  </si>
  <si>
    <t>Blank</t>
  </si>
  <si>
    <t>2% HNO3</t>
  </si>
  <si>
    <t>Sm ISmtial Concentration</t>
  </si>
  <si>
    <t>Target Concentration</t>
  </si>
  <si>
    <t>Cr ISmtial Concentration</t>
  </si>
  <si>
    <t>B16</t>
  </si>
  <si>
    <t>Sm 1</t>
  </si>
  <si>
    <t>ppm</t>
  </si>
  <si>
    <t xml:space="preserve">Blank </t>
  </si>
  <si>
    <t>Final</t>
  </si>
  <si>
    <t>Goal (ppm)</t>
  </si>
  <si>
    <t>Dilution (x)</t>
  </si>
  <si>
    <t>C_Sm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</si>
  <si>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</si>
  <si>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</si>
  <si>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</si>
  <si>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</si>
  <si>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</si>
  <si>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</si>
  <si>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</si>
  <si>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</si>
  <si>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</si>
  <si>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</si>
  <si>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</si>
  <si>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</si>
  <si>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</si>
  <si>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</si>
  <si>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</si>
  <si>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</si>
  <si>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</si>
  <si>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</si>
  <si>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Sm1 - 0</t>
  </si>
  <si>
    <t>Sm1 - 0.5</t>
  </si>
  <si>
    <t>Sm1 - 1</t>
  </si>
  <si>
    <t>Sm1 - 1.5</t>
  </si>
  <si>
    <t>Sm1 - 2</t>
  </si>
  <si>
    <t>Column1</t>
  </si>
  <si>
    <t>Column2</t>
  </si>
  <si>
    <t>Column3</t>
  </si>
  <si>
    <t>Column4</t>
  </si>
  <si>
    <t>Column5</t>
  </si>
  <si>
    <t xml:space="preserve">147  Sm  [ He ] </t>
  </si>
  <si>
    <t xml:space="preserve">148  Sm  [ He ] </t>
  </si>
  <si>
    <t xml:space="preserve">152  Sm  [ He ] </t>
  </si>
  <si>
    <t>Rjct</t>
  </si>
  <si>
    <t>Data File</t>
  </si>
  <si>
    <t>Acq. Date-Time</t>
  </si>
  <si>
    <t>Type</t>
  </si>
  <si>
    <t>Level</t>
  </si>
  <si>
    <t>CPS</t>
  </si>
  <si>
    <t>CPS RSD</t>
  </si>
  <si>
    <t>001SMPL.d</t>
  </si>
  <si>
    <t>########</t>
  </si>
  <si>
    <t>Rinse</t>
  </si>
  <si>
    <t>N/A</t>
  </si>
  <si>
    <t>002SMPL.d</t>
  </si>
  <si>
    <t>003_SSD.d</t>
  </si>
  <si>
    <t>SQStd</t>
  </si>
  <si>
    <t>Semi Standard</t>
  </si>
  <si>
    <t>004SMPL.d</t>
  </si>
  <si>
    <t>148  Sm  [ He ] :  CPS RSD value = 6.60 is over the allowed maximum = 5.00</t>
  </si>
  <si>
    <t>005SMPL.d</t>
  </si>
  <si>
    <t>006SMPL.d</t>
  </si>
  <si>
    <t>007SMPL.d</t>
  </si>
  <si>
    <t>147  Sm  [ He ] :  CPS RSD value = 5.13 is over the allowed maximum = 5.00</t>
  </si>
  <si>
    <t>008SMPL.d</t>
  </si>
  <si>
    <t>009SMPL.d</t>
  </si>
  <si>
    <t>010SMPL.d</t>
  </si>
  <si>
    <t>011SMPL.d</t>
  </si>
  <si>
    <t>012SMPL.d</t>
  </si>
  <si>
    <t>013SMPL.d</t>
  </si>
  <si>
    <t>014SMPL.d</t>
  </si>
  <si>
    <t>015SMPL.d</t>
  </si>
  <si>
    <t>016SMPL.d</t>
  </si>
  <si>
    <t>Name</t>
  </si>
  <si>
    <t>Std</t>
  </si>
  <si>
    <t>CPS2</t>
  </si>
  <si>
    <t>CPS3</t>
  </si>
  <si>
    <t>Sm (ppm)</t>
  </si>
  <si>
    <t>Cs =</t>
  </si>
  <si>
    <t>Dilution #</t>
  </si>
  <si>
    <t>OG Conc (ppm)</t>
  </si>
  <si>
    <t>147 Sm %</t>
  </si>
  <si>
    <t>148 Sm%</t>
  </si>
  <si>
    <t>152 Sm%</t>
  </si>
  <si>
    <t>Sm1_10ppb</t>
  </si>
  <si>
    <t>name</t>
  </si>
  <si>
    <t>zero</t>
  </si>
  <si>
    <t>mass of sample (g)</t>
  </si>
  <si>
    <t>mas of std (g)</t>
  </si>
  <si>
    <t>mass_x =</t>
  </si>
  <si>
    <t xml:space="preserve">b/counts = </t>
  </si>
  <si>
    <t>m/(counts/g) =</t>
  </si>
  <si>
    <t>Cx/ppm =</t>
  </si>
  <si>
    <t>Calculated Cx of diluted sample in ppm</t>
  </si>
  <si>
    <t>Calculated Cx of undiluted sample in ppm</t>
  </si>
  <si>
    <t>Mass fraction in original salt sample in %</t>
  </si>
  <si>
    <t>Counts</t>
  </si>
  <si>
    <t>yhat</t>
  </si>
  <si>
    <t>ε</t>
  </si>
  <si>
    <t xml:space="preserve">x-int/g = </t>
  </si>
  <si>
    <t xml:space="preserve">OG Sm mass frac = </t>
  </si>
  <si>
    <t xml:space="preserve">Cx/ppb = </t>
  </si>
  <si>
    <t>x-axis units = g_Sm per 1 billion grams of diluted sample solution</t>
  </si>
  <si>
    <t>Replicate 1</t>
  </si>
  <si>
    <t>Replicate 2</t>
  </si>
  <si>
    <t>Replicate 3</t>
  </si>
  <si>
    <t>spiked Sm conc (ppb_sam)</t>
  </si>
  <si>
    <t>m/(counts/ppb) =</t>
  </si>
  <si>
    <t xml:space="preserve">MW Sm = </t>
  </si>
  <si>
    <t xml:space="preserve">MW SmCl3 = </t>
  </si>
  <si>
    <t xml:space="preserve">SmCl3 wt.%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</si>
</sst>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"/>
    <numFmt numFmtId="166" formatCode="0.000%"/>
  </numFmts>
  <fonts count="1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D9D9D9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9" fillId="0" borderId="1" xfId="0" applyFont="1" applyBorder="1"/>
    <xf numFmtId="165" fontId="0" fillId="0" borderId="0" xfId="0" applyNumberFormat="1"/>
    <xf numFmtId="165" fontId="3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0" borderId="21" xfId="0" applyFont="1" applyBorder="1"/>
    <xf numFmtId="0" fontId="0" fillId="0" borderId="21" xfId="0" applyBorder="1"/>
    <xf numFmtId="0" fontId="10" fillId="7" borderId="22" xfId="0" applyFont="1" applyFill="1" applyBorder="1"/>
    <xf numFmtId="0" fontId="10" fillId="8" borderId="22" xfId="0" applyFont="1" applyFill="1" applyBorder="1"/>
    <xf numFmtId="0" fontId="0" fillId="7" borderId="0" xfId="0" applyFill="1"/>
    <xf numFmtId="0" fontId="0" fillId="0" borderId="23" xfId="0" applyBorder="1"/>
    <xf numFmtId="0" fontId="0" fillId="6" borderId="0" xfId="0" applyFill="1"/>
    <xf numFmtId="0" fontId="0" fillId="9" borderId="0" xfId="0" applyFill="1"/>
    <xf numFmtId="0" fontId="14" fillId="10" borderId="24" xfId="0" applyFont="1" applyFill="1" applyBorder="1"/>
    <xf numFmtId="0" fontId="14" fillId="0" borderId="24" xfId="0" applyFont="1" applyBorder="1"/>
    <xf numFmtId="0" fontId="14" fillId="10" borderId="25" xfId="0" applyFont="1" applyFill="1" applyBorder="1"/>
    <xf numFmtId="0" fontId="0" fillId="0" borderId="26" xfId="0" applyBorder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14" fillId="10" borderId="29" xfId="0" applyFont="1" applyFill="1" applyBorder="1"/>
    <xf numFmtId="0" fontId="14" fillId="10" borderId="30" xfId="0" applyFont="1" applyFill="1" applyBorder="1"/>
    <xf numFmtId="0" fontId="14" fillId="0" borderId="29" xfId="0" applyFont="1" applyBorder="1"/>
    <xf numFmtId="0" fontId="14" fillId="0" borderId="30" xfId="0" applyFont="1" applyBorder="1"/>
    <xf numFmtId="0" fontId="14" fillId="10" borderId="31" xfId="0" applyFont="1" applyFill="1" applyBorder="1"/>
    <xf numFmtId="0" fontId="14" fillId="10" borderId="32" xfId="0" applyFont="1" applyFill="1" applyBorder="1"/>
    <xf numFmtId="0" fontId="14" fillId="0" borderId="0" xfId="0" applyFont="1"/>
    <xf numFmtId="0" fontId="14" fillId="0" borderId="28" xfId="0" applyFont="1" applyBorder="1"/>
    <xf numFmtId="0" fontId="0" fillId="0" borderId="33" xfId="0" applyBorder="1"/>
    <xf numFmtId="166" fontId="0" fillId="0" borderId="0" xfId="1" applyNumberFormat="1" applyFont="1" applyBorder="1"/>
    <xf numFmtId="166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0" fillId="0" borderId="26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89824348879466"/>
          <c:y val="2.976190476190476E-2"/>
          <c:w val="0.80509320950265828"/>
          <c:h val="0.67238603153329235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12.821753863410416</c:v>
                </c:pt>
                <c:pt idx="2">
                  <c:v>25.722712533559548</c:v>
                </c:pt>
                <c:pt idx="3">
                  <c:v>36.233548094548198</c:v>
                </c:pt>
                <c:pt idx="4">
                  <c:v>48.615816732097834</c:v>
                </c:pt>
              </c:numCache>
            </c:numRef>
          </c:xVal>
          <c:yVal>
            <c:numRef>
              <c:f>Calculations!$D$3:$D$7</c:f>
              <c:numCache>
                <c:formatCode>General</c:formatCode>
                <c:ptCount val="5"/>
                <c:pt idx="0">
                  <c:v>674.1</c:v>
                </c:pt>
                <c:pt idx="1">
                  <c:v>5834.45</c:v>
                </c:pt>
                <c:pt idx="2">
                  <c:v>9978.23</c:v>
                </c:pt>
                <c:pt idx="3">
                  <c:v>12803.84</c:v>
                </c:pt>
                <c:pt idx="4">
                  <c:v>15506.44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AC-4386-9D75-A87D8C4C60F1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12.821753863410416</c:v>
                </c:pt>
                <c:pt idx="2">
                  <c:v>25.722712533559548</c:v>
                </c:pt>
                <c:pt idx="3">
                  <c:v>36.233548094548198</c:v>
                </c:pt>
                <c:pt idx="4">
                  <c:v>48.615816732097834</c:v>
                </c:pt>
              </c:numCache>
            </c:numRef>
          </c:xVal>
          <c:yVal>
            <c:numRef>
              <c:f>Calculations!$E$3:$E$7</c:f>
              <c:numCache>
                <c:formatCode>General</c:formatCode>
                <c:ptCount val="5"/>
                <c:pt idx="0">
                  <c:v>473.88</c:v>
                </c:pt>
                <c:pt idx="1">
                  <c:v>4178.66</c:v>
                </c:pt>
                <c:pt idx="2">
                  <c:v>7897.95</c:v>
                </c:pt>
                <c:pt idx="3">
                  <c:v>9958.26</c:v>
                </c:pt>
                <c:pt idx="4">
                  <c:v>11668.34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AC-4386-9D75-A87D8C4C60F1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12.821753863410416</c:v>
                </c:pt>
                <c:pt idx="2">
                  <c:v>25.722712533559548</c:v>
                </c:pt>
                <c:pt idx="3">
                  <c:v>36.233548094548198</c:v>
                </c:pt>
                <c:pt idx="4">
                  <c:v>48.615816732097834</c:v>
                </c:pt>
              </c:numCache>
            </c:numRef>
          </c:xVal>
          <c:yVal>
            <c:numRef>
              <c:f>Calculations!$F$3:$F$7</c:f>
              <c:numCache>
                <c:formatCode>General</c:formatCode>
                <c:ptCount val="5"/>
                <c:pt idx="0">
                  <c:v>1361.59</c:v>
                </c:pt>
                <c:pt idx="1">
                  <c:v>11544.52</c:v>
                </c:pt>
                <c:pt idx="2">
                  <c:v>20027.41</c:v>
                </c:pt>
                <c:pt idx="3">
                  <c:v>26359.02</c:v>
                </c:pt>
                <c:pt idx="4">
                  <c:v>30699.74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AC-4386-9D75-A87D8C4C60F1}"/>
            </c:ext>
          </c:extLst>
        </c:ser>
        <c:ser>
          <c:idx val="3"/>
          <c:order val="3"/>
          <c:tx>
            <c:v>147 fit</c:v>
          </c:tx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</c:v>
                </c:pt>
                <c:pt idx="1">
                  <c:v>0</c:v>
                </c:pt>
                <c:pt idx="2">
                  <c:v>12.821753863410416</c:v>
                </c:pt>
                <c:pt idx="3">
                  <c:v>25.722712533559548</c:v>
                </c:pt>
                <c:pt idx="4">
                  <c:v>36.233548094548198</c:v>
                </c:pt>
                <c:pt idx="5">
                  <c:v>48.615816732097834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-1600.3561960022084</c:v>
                </c:pt>
                <c:pt idx="1">
                  <c:v>1444.667766288429</c:v>
                </c:pt>
                <c:pt idx="2">
                  <c:v>5348.9225415561559</c:v>
                </c:pt>
                <c:pt idx="3">
                  <c:v>9277.2953702686827</c:v>
                </c:pt>
                <c:pt idx="4">
                  <c:v>12477.869984959381</c:v>
                </c:pt>
                <c:pt idx="5">
                  <c:v>16248.300455845228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AC-4386-9D75-A87D8C4C60F1}"/>
            </c:ext>
          </c:extLst>
        </c:ser>
        <c:ser>
          <c:idx val="4"/>
          <c:order val="4"/>
          <c:tx>
            <c:v>148 fit</c:v>
          </c:tx>
          <c:spPr>
            <a:ln w="12700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</c:v>
                </c:pt>
                <c:pt idx="1">
                  <c:v>0</c:v>
                </c:pt>
                <c:pt idx="2">
                  <c:v>12.821753863410416</c:v>
                </c:pt>
                <c:pt idx="3">
                  <c:v>25.722712533559548</c:v>
                </c:pt>
                <c:pt idx="4">
                  <c:v>36.233548094548198</c:v>
                </c:pt>
                <c:pt idx="5">
                  <c:v>48.615816732097834</c:v>
                </c:pt>
              </c:numCache>
            </c:numRef>
          </c:xVal>
          <c:yVal>
            <c:numRef>
              <c:f>Calculations!$I$15:$I$20</c:f>
              <c:numCache>
                <c:formatCode>General</c:formatCode>
                <c:ptCount val="6"/>
                <c:pt idx="0">
                  <c:v>-1288.6126431219711</c:v>
                </c:pt>
                <c:pt idx="1">
                  <c:v>1054.0397299314693</c:v>
                </c:pt>
                <c:pt idx="2">
                  <c:v>4057.7309414140227</c:v>
                </c:pt>
                <c:pt idx="3">
                  <c:v>7079.9770857429439</c:v>
                </c:pt>
                <c:pt idx="4">
                  <c:v>9542.3004727154002</c:v>
                </c:pt>
                <c:pt idx="5">
                  <c:v>12443.035573469484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AC-4386-9D75-A87D8C4C60F1}"/>
            </c:ext>
          </c:extLst>
        </c:ser>
        <c:ser>
          <c:idx val="5"/>
          <c:order val="5"/>
          <c:tx>
            <c:v>152 fit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</c:v>
                </c:pt>
                <c:pt idx="1">
                  <c:v>0</c:v>
                </c:pt>
                <c:pt idx="2">
                  <c:v>12.821753863410416</c:v>
                </c:pt>
                <c:pt idx="3">
                  <c:v>25.722712533559548</c:v>
                </c:pt>
                <c:pt idx="4">
                  <c:v>36.233548094548198</c:v>
                </c:pt>
                <c:pt idx="5">
                  <c:v>48.615816732097834</c:v>
                </c:pt>
              </c:numCache>
            </c:numRef>
          </c:xVal>
          <c:yVal>
            <c:numRef>
              <c:f>Calculations!$L$15:$L$20</c:f>
              <c:numCache>
                <c:formatCode>General</c:formatCode>
                <c:ptCount val="6"/>
                <c:pt idx="0">
                  <c:v>-3178.2985586996074</c:v>
                </c:pt>
                <c:pt idx="1">
                  <c:v>2928.2491228762083</c:v>
                </c:pt>
                <c:pt idx="2">
                  <c:v>10757.914255710672</c:v>
                </c:pt>
                <c:pt idx="3">
                  <c:v>18635.946181441133</c:v>
                </c:pt>
                <c:pt idx="4">
                  <c:v>25054.438034079118</c:v>
                </c:pt>
                <c:pt idx="5">
                  <c:v>32615.729418206884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AC-4386-9D75-A87D8C4C6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ax val="5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Sm Concentration (ppb)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  <c:majorUnit val="5"/>
      </c:valAx>
      <c:valAx>
        <c:axId val="8607188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baseline="0"/>
                  <a:t>Intensity × 10</a:t>
                </a:r>
                <a:r>
                  <a:rPr lang="en-US" baseline="30000"/>
                  <a:t>-3</a:t>
                </a:r>
                <a:r>
                  <a:rPr lang="en-US" baseline="0"/>
                  <a:t> 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" sourceLinked="0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2393162393162394"/>
          <c:y val="0.87871875058170923"/>
          <c:w val="0.77777777777777779"/>
          <c:h val="0.11632100674915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22</xdr:row>
      <xdr:rowOff>60960</xdr:rowOff>
    </xdr:from>
    <xdr:to>
      <xdr:col>3</xdr:col>
      <xdr:colOff>830580</xdr:colOff>
      <xdr:row>34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B963FA-CDAA-41BC-AAF3-3CFE44A6D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11" totalsRowShown="0">
  <autoFilter ref="A1:E11" xr:uid="{40CE53F1-A856-44A7-8C6E-6ABF449CDDF8}"/>
  <sortState xmlns:xlrd2="http://schemas.microsoft.com/office/spreadsheetml/2017/richdata2" ref="A2:E11">
    <sortCondition ref="E1:E11"/>
  </sortState>
  <tableColumns count="5">
    <tableColumn id="1" xr3:uid="{6B197B71-1E81-47F3-A4C4-80165013CA78}" name="Column1"/>
    <tableColumn id="2" xr3:uid="{9C209523-53C1-4FD7-9C71-05C0127710A0}" name="Column2" dataDxfId="6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2D9E39-55B4-41EF-AB33-D7768BB709A7}" name="Table4" displayName="Table4" ref="A2:F7" totalsRowShown="0" headerRowDxfId="5" dataDxfId="4">
  <autoFilter ref="A2:F7" xr:uid="{162D9E39-55B4-41EF-AB33-D7768BB709A7}"/>
  <tableColumns count="6">
    <tableColumn id="1" xr3:uid="{C5B1765B-0798-4230-B5AF-42981363ADAD}" name="Name" dataDxfId="3"/>
    <tableColumn id="2" xr3:uid="{0954BB82-34D2-494E-824A-8EC7DD5CD0FB}" name="Sample"/>
    <tableColumn id="3" xr3:uid="{3BFE6206-B561-4B09-B815-A6B9A984480A}" name="Std"/>
    <tableColumn id="4" xr3:uid="{70DECD08-7F54-46AB-A2B4-9816974908A8}" name="CPS" dataDxfId="2"/>
    <tableColumn id="5" xr3:uid="{1DBF4777-DBA6-4B57-ACB3-CD976891B4CE}" name="CPS2" dataDxfId="1"/>
    <tableColumn id="6" xr3:uid="{8891688F-3A0F-4C80-8702-836EA0741BE0}" name="CPS3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"/>
  <sheetViews>
    <sheetView topLeftCell="D1" workbookViewId="0">
      <selection activeCell="J12" sqref="J12"/>
    </sheetView>
  </sheetViews>
  <sheetFormatPr defaultRowHeight="15" x14ac:dyDescent="0.25"/>
  <cols>
    <col min="1" max="1" width="8.7109375" bestFit="1" customWidth="1"/>
    <col min="2" max="2" width="15.85546875" bestFit="1" customWidth="1"/>
    <col min="3" max="3" width="12" bestFit="1" customWidth="1"/>
    <col min="4" max="4" width="9.5703125" bestFit="1" customWidth="1"/>
    <col min="5" max="5" width="12.7109375" bestFit="1" customWidth="1"/>
    <col min="6" max="6" width="10.5703125" bestFit="1" customWidth="1"/>
    <col min="7" max="7" width="10.42578125" bestFit="1" customWidth="1"/>
    <col min="8" max="8" width="9.85546875" bestFit="1" customWidth="1"/>
    <col min="9" max="9" width="15.7109375" bestFit="1" customWidth="1"/>
    <col min="10" max="10" width="11.42578125" bestFit="1" customWidth="1"/>
    <col min="11" max="12" width="14.57031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Q1" s="76" t="s">
        <v>12</v>
      </c>
      <c r="R1" s="76"/>
      <c r="S1" s="76"/>
      <c r="T1" s="76"/>
      <c r="U1" s="76"/>
      <c r="X1" s="76" t="s">
        <v>13</v>
      </c>
      <c r="Y1" s="76"/>
      <c r="Z1" s="76"/>
      <c r="AA1" s="76"/>
      <c r="AB1" s="76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6">
        <v>35.020699999999998</v>
      </c>
      <c r="G2" s="46">
        <v>35.020699999999998</v>
      </c>
      <c r="H2" s="6">
        <v>0</v>
      </c>
      <c r="I2" s="46">
        <f>G2-E2</f>
        <v>26.932099999999998</v>
      </c>
      <c r="J2" s="6">
        <v>1</v>
      </c>
      <c r="K2" s="6">
        <v>0</v>
      </c>
      <c r="L2" s="6">
        <v>0</v>
      </c>
      <c r="M2" s="6"/>
      <c r="Q2" s="77" t="s">
        <v>17</v>
      </c>
      <c r="R2" s="77"/>
      <c r="S2" s="77"/>
      <c r="U2" t="s">
        <v>18</v>
      </c>
      <c r="X2" s="77" t="s">
        <v>19</v>
      </c>
      <c r="Y2" s="77"/>
      <c r="Z2" s="77"/>
      <c r="AB2" t="s">
        <v>18</v>
      </c>
    </row>
    <row r="3" spans="1:30" ht="17.25" x14ac:dyDescent="0.3">
      <c r="A3" s="2" t="s">
        <v>20</v>
      </c>
      <c r="B3" s="3" t="s">
        <v>21</v>
      </c>
      <c r="C3" s="7"/>
      <c r="D3" s="5" t="s">
        <v>16</v>
      </c>
      <c r="E3" s="6">
        <v>8.1151</v>
      </c>
      <c r="F3" s="46">
        <f>G3-H3</f>
        <v>35.059699999999992</v>
      </c>
      <c r="G3" s="46">
        <v>35.167099999999998</v>
      </c>
      <c r="H3" s="46">
        <v>0.10740000000000194</v>
      </c>
      <c r="I3" s="6">
        <v>20.0261</v>
      </c>
      <c r="J3" s="6">
        <v>1</v>
      </c>
      <c r="K3" s="6">
        <f>(H3/I3*1000000)*J3</f>
        <v>5363.0012833253568</v>
      </c>
      <c r="L3" s="6">
        <f>K3*0.02</f>
        <v>107.26002566650713</v>
      </c>
      <c r="M3" s="6"/>
      <c r="Q3">
        <v>1000</v>
      </c>
      <c r="R3" t="s">
        <v>22</v>
      </c>
      <c r="U3">
        <v>1.4999999999999999E-2</v>
      </c>
      <c r="V3" t="s">
        <v>22</v>
      </c>
      <c r="X3">
        <v>1002</v>
      </c>
      <c r="Y3" t="s">
        <v>22</v>
      </c>
      <c r="AB3">
        <v>0.1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10"/>
      <c r="N4" s="11"/>
    </row>
    <row r="5" spans="1:30" ht="21" x14ac:dyDescent="0.35">
      <c r="A5" s="14" t="s">
        <v>23</v>
      </c>
      <c r="E5" s="15" t="s">
        <v>24</v>
      </c>
      <c r="M5" s="16"/>
      <c r="N5" s="16"/>
      <c r="R5" s="8">
        <v>1000</v>
      </c>
      <c r="S5" s="8"/>
    </row>
    <row r="6" spans="1:30" x14ac:dyDescent="0.25">
      <c r="A6" s="18" t="s">
        <v>7</v>
      </c>
      <c r="B6" s="24">
        <v>1.0549999999999999</v>
      </c>
      <c r="C6" s="24">
        <v>1.0228999999999999</v>
      </c>
      <c r="D6" s="24">
        <v>1</v>
      </c>
      <c r="E6" s="25">
        <v>1</v>
      </c>
      <c r="F6" s="26">
        <v>1</v>
      </c>
      <c r="H6" s="19" t="s">
        <v>25</v>
      </c>
      <c r="I6" s="20" t="s">
        <v>26</v>
      </c>
      <c r="J6" s="20" t="s">
        <v>27</v>
      </c>
      <c r="K6" s="21" t="s">
        <v>28</v>
      </c>
      <c r="M6" s="16"/>
      <c r="N6" s="16"/>
      <c r="Q6" t="s">
        <v>7</v>
      </c>
      <c r="R6">
        <v>4.9399999999999999E-2</v>
      </c>
      <c r="S6">
        <v>5.4600000000000003E-2</v>
      </c>
      <c r="X6" t="s">
        <v>7</v>
      </c>
      <c r="Y6">
        <v>0.1</v>
      </c>
      <c r="Z6" s="9">
        <v>0.1</v>
      </c>
      <c r="AA6">
        <v>1</v>
      </c>
    </row>
    <row r="7" spans="1:30" x14ac:dyDescent="0.25">
      <c r="A7" s="18" t="s">
        <v>29</v>
      </c>
      <c r="B7" s="30">
        <v>10.101900000000001</v>
      </c>
      <c r="C7" s="30">
        <v>9.9324999999999992</v>
      </c>
      <c r="D7" s="30">
        <v>1</v>
      </c>
      <c r="E7" s="31">
        <v>10</v>
      </c>
      <c r="F7" s="32">
        <v>1</v>
      </c>
      <c r="H7" s="19">
        <v>10</v>
      </c>
      <c r="I7" s="27">
        <f>PRODUCT(B8:D8)</f>
        <v>10</v>
      </c>
      <c r="J7" s="28">
        <f>K7*1/100</f>
        <v>0</v>
      </c>
      <c r="K7" s="29">
        <f>K2/I7</f>
        <v>0</v>
      </c>
      <c r="L7" s="45"/>
      <c r="Q7" t="s">
        <v>29</v>
      </c>
      <c r="R7" s="12">
        <v>7.0168999999999997</v>
      </c>
      <c r="S7" s="12">
        <v>16.142900000000001</v>
      </c>
      <c r="U7" t="s">
        <v>30</v>
      </c>
      <c r="X7" t="s">
        <v>29</v>
      </c>
      <c r="Y7" s="12">
        <v>10</v>
      </c>
      <c r="Z7" s="13">
        <v>10</v>
      </c>
      <c r="AA7" s="12">
        <v>1</v>
      </c>
      <c r="AC7" t="s">
        <v>31</v>
      </c>
      <c r="AD7" t="s">
        <v>26</v>
      </c>
    </row>
    <row r="8" spans="1:30" x14ac:dyDescent="0.25">
      <c r="A8" s="18" t="s">
        <v>32</v>
      </c>
      <c r="B8">
        <v>10</v>
      </c>
      <c r="C8">
        <v>1</v>
      </c>
      <c r="D8">
        <v>1</v>
      </c>
      <c r="E8" s="36">
        <v>10</v>
      </c>
      <c r="F8" s="37">
        <v>1</v>
      </c>
      <c r="H8" s="33"/>
      <c r="I8" s="34"/>
      <c r="J8" s="34"/>
      <c r="K8" s="35"/>
      <c r="L8" s="45"/>
      <c r="Q8" t="s">
        <v>32</v>
      </c>
      <c r="R8">
        <f>R7/R6</f>
        <v>142.0425101214575</v>
      </c>
      <c r="S8">
        <f>S7/S6</f>
        <v>295.65750915750914</v>
      </c>
      <c r="U8">
        <f>PRODUCT(R8:S8)</f>
        <v>41995.934736990406</v>
      </c>
      <c r="X8" t="s">
        <v>32</v>
      </c>
      <c r="Y8">
        <f>Y7/Y6</f>
        <v>100</v>
      </c>
      <c r="Z8" s="17">
        <f t="shared" ref="Z8:AA8" si="0">Z7/Z6</f>
        <v>100</v>
      </c>
      <c r="AA8">
        <f t="shared" si="0"/>
        <v>1</v>
      </c>
      <c r="AC8">
        <f>PRODUCT(Y8)</f>
        <v>100</v>
      </c>
      <c r="AD8">
        <f>PRODUCT(Z8:AA8)</f>
        <v>100</v>
      </c>
    </row>
    <row r="9" spans="1:30" x14ac:dyDescent="0.25">
      <c r="H9" s="38"/>
      <c r="I9" s="39"/>
      <c r="J9" s="39"/>
      <c r="K9" s="40"/>
      <c r="L9" s="45"/>
      <c r="Q9" t="s">
        <v>33</v>
      </c>
      <c r="R9" s="22">
        <f>Q3/U8</f>
        <v>2.3811828603476488E-2</v>
      </c>
      <c r="S9" s="22" t="s">
        <v>22</v>
      </c>
      <c r="X9" s="12" t="s">
        <v>34</v>
      </c>
      <c r="Y9" s="23">
        <f>X3/AC8</f>
        <v>10.02</v>
      </c>
      <c r="Z9" s="23" t="s">
        <v>22</v>
      </c>
    </row>
    <row r="10" spans="1:30" ht="21" x14ac:dyDescent="0.35">
      <c r="A10" s="14" t="s">
        <v>21</v>
      </c>
      <c r="E10" s="15" t="s">
        <v>24</v>
      </c>
      <c r="G10" s="36"/>
      <c r="R10">
        <f>R9*1000</f>
        <v>23.811828603476489</v>
      </c>
      <c r="X10" t="s">
        <v>35</v>
      </c>
      <c r="Y10" s="22">
        <f>Y9/AD8</f>
        <v>0.1002</v>
      </c>
      <c r="Z10" s="22" t="s">
        <v>22</v>
      </c>
    </row>
    <row r="11" spans="1:30" x14ac:dyDescent="0.25">
      <c r="A11" s="18" t="s">
        <v>7</v>
      </c>
      <c r="B11" s="24">
        <v>0.1045</v>
      </c>
      <c r="C11" s="24">
        <v>0.1479</v>
      </c>
      <c r="D11" s="24">
        <v>1</v>
      </c>
      <c r="E11" s="25">
        <v>1</v>
      </c>
      <c r="F11" s="26">
        <v>1</v>
      </c>
      <c r="H11" s="19" t="s">
        <v>25</v>
      </c>
      <c r="I11" s="20" t="s">
        <v>26</v>
      </c>
      <c r="J11" s="20" t="s">
        <v>27</v>
      </c>
      <c r="K11" s="21" t="s">
        <v>28</v>
      </c>
    </row>
    <row r="12" spans="1:30" x14ac:dyDescent="0.25">
      <c r="A12" s="18" t="s">
        <v>29</v>
      </c>
      <c r="B12" s="30">
        <v>10.927899999999999</v>
      </c>
      <c r="C12" s="30">
        <v>11.0497</v>
      </c>
      <c r="D12" s="30">
        <v>1</v>
      </c>
      <c r="E12" s="31">
        <v>10</v>
      </c>
      <c r="F12" s="32">
        <v>1</v>
      </c>
      <c r="H12" s="19">
        <v>10</v>
      </c>
      <c r="I12" s="27">
        <f>PRODUCT(B13:D13)</f>
        <v>7812.7285428211871</v>
      </c>
      <c r="J12" s="28">
        <f>K12*2/100</f>
        <v>1.3728881667732357E-2</v>
      </c>
      <c r="K12" s="29">
        <f>K3/I12</f>
        <v>0.68644408338661789</v>
      </c>
      <c r="Q12" s="41" t="s">
        <v>36</v>
      </c>
      <c r="R12" s="41" t="s">
        <v>37</v>
      </c>
      <c r="S12" s="41" t="s">
        <v>38</v>
      </c>
      <c r="T12" s="41" t="s">
        <v>39</v>
      </c>
      <c r="U12" s="41" t="s">
        <v>40</v>
      </c>
    </row>
    <row r="13" spans="1:30" ht="18.75" x14ac:dyDescent="0.3">
      <c r="A13" s="18" t="s">
        <v>32</v>
      </c>
      <c r="B13">
        <f>B12/B11</f>
        <v>104.57320574162679</v>
      </c>
      <c r="C13">
        <f t="shared" ref="C13:D13" si="1">C12/C11</f>
        <v>74.710615280594993</v>
      </c>
      <c r="D13">
        <f t="shared" si="1"/>
        <v>1</v>
      </c>
      <c r="E13" s="36">
        <f>E12/E11</f>
        <v>10</v>
      </c>
      <c r="F13" s="37">
        <f>F12/F11</f>
        <v>1</v>
      </c>
      <c r="H13" s="33"/>
      <c r="I13" s="34"/>
      <c r="J13" s="34"/>
      <c r="K13" s="35"/>
      <c r="L13" s="45"/>
      <c r="Q13" s="42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H14" s="38"/>
      <c r="I14" s="39"/>
      <c r="J14" s="39"/>
      <c r="K14" s="40"/>
      <c r="L14" s="45"/>
      <c r="Q14" s="42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Q15" s="42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2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9:21" ht="18.75" x14ac:dyDescent="0.3">
      <c r="Q17" s="43" t="s">
        <v>45</v>
      </c>
      <c r="R17" s="12">
        <v>1.0011000000000001</v>
      </c>
      <c r="S17" s="12">
        <v>2.0381</v>
      </c>
      <c r="T17" s="12">
        <v>7.0076999999999998</v>
      </c>
      <c r="U17" s="12">
        <f t="shared" si="2"/>
        <v>10.046900000000001</v>
      </c>
    </row>
    <row r="18" spans="9:21" ht="18.75" x14ac:dyDescent="0.3">
      <c r="Q18" s="42" t="s">
        <v>46</v>
      </c>
      <c r="R18">
        <v>1.0123</v>
      </c>
      <c r="S18">
        <v>0</v>
      </c>
      <c r="T18">
        <v>9.0441000000000003</v>
      </c>
      <c r="U18">
        <f t="shared" si="2"/>
        <v>10.0564</v>
      </c>
    </row>
    <row r="19" spans="9:21" ht="18.75" x14ac:dyDescent="0.3">
      <c r="Q19" s="42" t="s">
        <v>47</v>
      </c>
      <c r="R19">
        <v>1.0075000000000001</v>
      </c>
      <c r="S19">
        <v>0.54249999999999998</v>
      </c>
      <c r="T19">
        <v>8.5058000000000007</v>
      </c>
      <c r="U19">
        <f t="shared" si="2"/>
        <v>10.055800000000001</v>
      </c>
    </row>
    <row r="20" spans="9:21" ht="18.75" x14ac:dyDescent="0.3">
      <c r="Q20" s="42" t="s">
        <v>48</v>
      </c>
      <c r="R20">
        <v>1.0105999999999999</v>
      </c>
      <c r="S20">
        <v>1.0916999999999999</v>
      </c>
      <c r="T20">
        <v>8.0273000000000003</v>
      </c>
      <c r="U20">
        <f t="shared" si="2"/>
        <v>10.1296</v>
      </c>
    </row>
    <row r="21" spans="9:21" ht="18.75" x14ac:dyDescent="0.3">
      <c r="Q21" s="42" t="s">
        <v>49</v>
      </c>
      <c r="R21">
        <v>1.0109999999999999</v>
      </c>
      <c r="S21">
        <v>1.5384</v>
      </c>
      <c r="T21">
        <v>7.4974999999999996</v>
      </c>
      <c r="U21">
        <f t="shared" si="2"/>
        <v>10.046899999999999</v>
      </c>
    </row>
    <row r="22" spans="9:21" ht="18.75" x14ac:dyDescent="0.3">
      <c r="Q22" s="44" t="s">
        <v>50</v>
      </c>
      <c r="R22" s="12">
        <v>1.0104</v>
      </c>
      <c r="S22" s="12">
        <v>2.0629</v>
      </c>
      <c r="T22" s="12">
        <v>7.0072000000000001</v>
      </c>
      <c r="U22" s="12">
        <f t="shared" si="2"/>
        <v>10.080500000000001</v>
      </c>
    </row>
    <row r="23" spans="9:21" x14ac:dyDescent="0.25">
      <c r="I23">
        <f>K3/I12</f>
        <v>0.68644408338661789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A2" sqref="A2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2" t="s">
        <v>42</v>
      </c>
      <c r="D2">
        <v>3102</v>
      </c>
      <c r="E2">
        <f t="shared" ref="E2:E11" ca="1" si="0">RAND()</f>
        <v>0.4046632318347575</v>
      </c>
    </row>
    <row r="3" spans="1:5" ht="18.75" x14ac:dyDescent="0.3">
      <c r="A3" t="s">
        <v>7</v>
      </c>
      <c r="B3" s="42" t="s">
        <v>45</v>
      </c>
      <c r="D3">
        <v>3105</v>
      </c>
      <c r="E3">
        <f t="shared" ca="1" si="0"/>
        <v>0.80307332444499968</v>
      </c>
    </row>
    <row r="4" spans="1:5" ht="18.75" x14ac:dyDescent="0.3">
      <c r="A4" t="s">
        <v>7</v>
      </c>
      <c r="B4" s="42" t="s">
        <v>48</v>
      </c>
      <c r="D4">
        <v>3108</v>
      </c>
      <c r="E4">
        <f t="shared" ca="1" si="0"/>
        <v>0.43669928981256656</v>
      </c>
    </row>
    <row r="5" spans="1:5" ht="18.75" x14ac:dyDescent="0.3">
      <c r="A5" t="s">
        <v>7</v>
      </c>
      <c r="B5" s="42" t="s">
        <v>46</v>
      </c>
      <c r="D5">
        <v>3106</v>
      </c>
      <c r="E5">
        <f t="shared" ca="1" si="0"/>
        <v>0.82252363899578496</v>
      </c>
    </row>
    <row r="6" spans="1:5" ht="18.75" x14ac:dyDescent="0.3">
      <c r="A6" t="s">
        <v>7</v>
      </c>
      <c r="B6" s="43" t="s">
        <v>49</v>
      </c>
      <c r="D6">
        <v>3109</v>
      </c>
      <c r="E6">
        <f t="shared" ca="1" si="0"/>
        <v>0.86662314975990007</v>
      </c>
    </row>
    <row r="7" spans="1:5" ht="18.75" x14ac:dyDescent="0.3">
      <c r="A7" t="s">
        <v>7</v>
      </c>
      <c r="B7" s="42" t="s">
        <v>47</v>
      </c>
      <c r="D7">
        <v>3107</v>
      </c>
      <c r="E7">
        <f t="shared" ca="1" si="0"/>
        <v>0.27293101296364419</v>
      </c>
    </row>
    <row r="8" spans="1:5" ht="18.75" x14ac:dyDescent="0.3">
      <c r="A8" t="s">
        <v>7</v>
      </c>
      <c r="B8" s="42" t="s">
        <v>50</v>
      </c>
      <c r="D8">
        <v>3110</v>
      </c>
      <c r="E8">
        <f t="shared" ca="1" si="0"/>
        <v>0.58664910307478757</v>
      </c>
    </row>
    <row r="9" spans="1:5" ht="18.75" x14ac:dyDescent="0.3">
      <c r="A9" t="s">
        <v>7</v>
      </c>
      <c r="B9" s="42" t="s">
        <v>41</v>
      </c>
      <c r="D9">
        <v>3101</v>
      </c>
      <c r="E9">
        <f t="shared" ca="1" si="0"/>
        <v>0.34568378521772236</v>
      </c>
    </row>
    <row r="10" spans="1:5" ht="18.75" x14ac:dyDescent="0.3">
      <c r="A10" t="s">
        <v>7</v>
      </c>
      <c r="B10" s="42" t="s">
        <v>43</v>
      </c>
      <c r="D10">
        <v>3103</v>
      </c>
      <c r="E10">
        <f t="shared" ca="1" si="0"/>
        <v>0.78755119948802266</v>
      </c>
    </row>
    <row r="11" spans="1:5" ht="18.75" x14ac:dyDescent="0.3">
      <c r="A11" t="s">
        <v>7</v>
      </c>
      <c r="B11" s="44" t="s">
        <v>44</v>
      </c>
      <c r="D11">
        <v>3104</v>
      </c>
      <c r="E11">
        <f t="shared" ca="1" si="0"/>
        <v>0.3705816013813914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1" sqref="G1"/>
    </sheetView>
  </sheetViews>
  <sheetFormatPr defaultRowHeight="15" x14ac:dyDescent="0.25"/>
  <sheetData>
    <row r="1" spans="1:21" x14ac:dyDescent="0.25">
      <c r="A1" s="47" t="s">
        <v>7</v>
      </c>
      <c r="B1" s="47"/>
      <c r="C1" s="47"/>
      <c r="D1" s="47"/>
      <c r="E1" s="47"/>
      <c r="F1" s="47"/>
      <c r="G1" s="47"/>
      <c r="H1" s="47" t="s">
        <v>56</v>
      </c>
      <c r="I1" s="47"/>
      <c r="J1" s="47" t="s">
        <v>57</v>
      </c>
      <c r="K1" s="47"/>
      <c r="L1" s="47" t="s">
        <v>58</v>
      </c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7"/>
      <c r="B2" s="47" t="s">
        <v>59</v>
      </c>
      <c r="C2" s="47" t="s">
        <v>60</v>
      </c>
      <c r="D2" s="47" t="s">
        <v>61</v>
      </c>
      <c r="E2" s="47" t="s">
        <v>62</v>
      </c>
      <c r="F2" s="47" t="s">
        <v>63</v>
      </c>
      <c r="G2" s="47" t="s">
        <v>1</v>
      </c>
      <c r="H2" s="47" t="s">
        <v>64</v>
      </c>
      <c r="I2" s="47" t="s">
        <v>65</v>
      </c>
      <c r="J2" s="47" t="s">
        <v>64</v>
      </c>
      <c r="K2" s="47" t="s">
        <v>65</v>
      </c>
      <c r="L2" s="47" t="s">
        <v>64</v>
      </c>
      <c r="M2" s="47" t="s">
        <v>65</v>
      </c>
      <c r="N2" s="47"/>
      <c r="O2" s="47"/>
      <c r="P2" s="47"/>
      <c r="Q2" s="47"/>
      <c r="R2" s="47"/>
      <c r="S2" s="47"/>
      <c r="T2" s="47"/>
      <c r="U2" s="47"/>
    </row>
    <row r="3" spans="1:21" x14ac:dyDescent="0.25">
      <c r="A3" s="47"/>
      <c r="B3" s="47" t="b">
        <v>0</v>
      </c>
      <c r="C3" s="47" t="s">
        <v>66</v>
      </c>
      <c r="D3" s="47" t="s">
        <v>67</v>
      </c>
      <c r="E3" s="47" t="s">
        <v>7</v>
      </c>
      <c r="F3" s="47"/>
      <c r="G3" s="47" t="s">
        <v>68</v>
      </c>
      <c r="H3" s="47">
        <v>0</v>
      </c>
      <c r="I3" s="47" t="s">
        <v>69</v>
      </c>
      <c r="J3" s="47">
        <v>0</v>
      </c>
      <c r="K3" s="47" t="s">
        <v>69</v>
      </c>
      <c r="L3" s="47">
        <v>3.34</v>
      </c>
      <c r="M3" s="47">
        <v>173.2</v>
      </c>
      <c r="N3" s="47"/>
      <c r="O3" s="47"/>
      <c r="P3" s="47"/>
      <c r="Q3" s="47"/>
      <c r="R3" s="47"/>
      <c r="S3" s="47"/>
      <c r="T3" s="47"/>
      <c r="U3" s="47"/>
    </row>
    <row r="4" spans="1:21" x14ac:dyDescent="0.25">
      <c r="A4" s="47"/>
      <c r="B4" s="47" t="b">
        <v>0</v>
      </c>
      <c r="C4" s="47" t="s">
        <v>70</v>
      </c>
      <c r="D4" s="47" t="s">
        <v>67</v>
      </c>
      <c r="E4" s="47" t="s">
        <v>7</v>
      </c>
      <c r="F4" s="47"/>
      <c r="G4" s="47" t="s">
        <v>68</v>
      </c>
      <c r="H4" s="47">
        <v>0</v>
      </c>
      <c r="I4" s="47" t="s">
        <v>69</v>
      </c>
      <c r="J4" s="47">
        <v>3.34</v>
      </c>
      <c r="K4" s="47">
        <v>173.2</v>
      </c>
      <c r="L4" s="47">
        <v>0</v>
      </c>
      <c r="M4" s="47" t="s">
        <v>69</v>
      </c>
      <c r="N4" s="47"/>
      <c r="O4" s="47"/>
      <c r="P4" s="47"/>
      <c r="Q4" s="47"/>
      <c r="R4" s="47"/>
      <c r="S4" s="47"/>
      <c r="T4" s="47"/>
      <c r="U4" s="47"/>
    </row>
    <row r="5" spans="1:21" x14ac:dyDescent="0.25">
      <c r="A5" s="47"/>
      <c r="B5" s="47" t="b">
        <v>0</v>
      </c>
      <c r="C5" s="47" t="s">
        <v>71</v>
      </c>
      <c r="D5" s="47" t="s">
        <v>67</v>
      </c>
      <c r="E5" s="47" t="s">
        <v>72</v>
      </c>
      <c r="F5" s="47"/>
      <c r="G5" s="47" t="s">
        <v>73</v>
      </c>
      <c r="H5" s="47">
        <v>32168.59</v>
      </c>
      <c r="I5" s="47">
        <v>1.2</v>
      </c>
      <c r="J5" s="47">
        <v>37749.14</v>
      </c>
      <c r="K5" s="47">
        <v>1.5</v>
      </c>
      <c r="L5" s="47">
        <v>64737.43</v>
      </c>
      <c r="M5" s="47">
        <v>2</v>
      </c>
      <c r="N5" s="47"/>
      <c r="O5" s="47"/>
      <c r="P5" s="47"/>
      <c r="Q5" s="47"/>
      <c r="R5" s="47"/>
      <c r="S5" s="47"/>
      <c r="T5" s="47"/>
      <c r="U5" s="47"/>
    </row>
    <row r="6" spans="1:21" x14ac:dyDescent="0.25">
      <c r="A6" s="47"/>
      <c r="B6" s="47" t="b">
        <v>0</v>
      </c>
      <c r="C6" s="47" t="s">
        <v>74</v>
      </c>
      <c r="D6" s="47" t="s">
        <v>67</v>
      </c>
      <c r="E6" s="47" t="s">
        <v>7</v>
      </c>
      <c r="F6" s="47"/>
      <c r="G6" s="47" t="s">
        <v>42</v>
      </c>
      <c r="H6" s="47">
        <v>3394.23</v>
      </c>
      <c r="I6" s="47">
        <v>2.4</v>
      </c>
      <c r="J6" s="47">
        <v>2656.59</v>
      </c>
      <c r="K6" s="47">
        <v>2.6</v>
      </c>
      <c r="L6" s="47">
        <v>6772.68</v>
      </c>
      <c r="M6" s="47">
        <v>2.5</v>
      </c>
      <c r="N6" s="47"/>
      <c r="O6" s="47"/>
      <c r="P6" s="47"/>
      <c r="Q6" s="47"/>
      <c r="R6" s="47"/>
      <c r="S6" s="47"/>
      <c r="T6" s="47"/>
      <c r="U6" s="47"/>
    </row>
    <row r="7" spans="1:21" x14ac:dyDescent="0.25">
      <c r="A7" s="47" t="s">
        <v>75</v>
      </c>
      <c r="B7" s="47" t="b">
        <v>0</v>
      </c>
      <c r="C7" s="47" t="s">
        <v>76</v>
      </c>
      <c r="D7" s="47" t="s">
        <v>67</v>
      </c>
      <c r="E7" s="47" t="s">
        <v>7</v>
      </c>
      <c r="F7" s="47"/>
      <c r="G7" s="47" t="s">
        <v>45</v>
      </c>
      <c r="H7" s="47">
        <v>15747.04</v>
      </c>
      <c r="I7" s="47">
        <v>0.6</v>
      </c>
      <c r="J7" s="47">
        <v>12028.93</v>
      </c>
      <c r="K7" s="47">
        <v>6.6</v>
      </c>
      <c r="L7" s="47">
        <v>31074.84</v>
      </c>
      <c r="M7" s="47">
        <v>3.1</v>
      </c>
      <c r="N7" s="47"/>
      <c r="O7" s="47"/>
      <c r="P7" s="47"/>
      <c r="Q7" s="47"/>
      <c r="R7" s="47"/>
      <c r="S7" s="47"/>
      <c r="T7" s="47"/>
      <c r="U7" s="47"/>
    </row>
    <row r="8" spans="1:21" x14ac:dyDescent="0.25">
      <c r="A8" s="47"/>
      <c r="B8" s="47" t="b">
        <v>0</v>
      </c>
      <c r="C8" s="47" t="s">
        <v>77</v>
      </c>
      <c r="D8" s="47" t="s">
        <v>67</v>
      </c>
      <c r="E8" s="47" t="s">
        <v>7</v>
      </c>
      <c r="F8" s="47"/>
      <c r="G8" s="47" t="s">
        <v>48</v>
      </c>
      <c r="H8" s="47">
        <v>9978.23</v>
      </c>
      <c r="I8" s="47">
        <v>4.3</v>
      </c>
      <c r="J8" s="47">
        <v>7897.95</v>
      </c>
      <c r="K8" s="47">
        <v>4.0999999999999996</v>
      </c>
      <c r="L8" s="47">
        <v>20027.41</v>
      </c>
      <c r="M8" s="47">
        <v>1.7</v>
      </c>
      <c r="N8" s="47"/>
      <c r="O8" s="47"/>
      <c r="P8" s="47"/>
      <c r="Q8" s="47"/>
      <c r="R8" s="47"/>
      <c r="S8" s="47"/>
      <c r="T8" s="47"/>
      <c r="U8" s="47"/>
    </row>
    <row r="9" spans="1:21" x14ac:dyDescent="0.25">
      <c r="A9" s="47"/>
      <c r="B9" s="47" t="b">
        <v>0</v>
      </c>
      <c r="C9" s="47" t="s">
        <v>78</v>
      </c>
      <c r="D9" s="47" t="s">
        <v>67</v>
      </c>
      <c r="E9" s="47" t="s">
        <v>7</v>
      </c>
      <c r="F9" s="47"/>
      <c r="G9" s="47" t="s">
        <v>46</v>
      </c>
      <c r="H9" s="47">
        <v>674.1</v>
      </c>
      <c r="I9" s="47">
        <v>9</v>
      </c>
      <c r="J9" s="47">
        <v>473.88</v>
      </c>
      <c r="K9" s="47">
        <v>6.5</v>
      </c>
      <c r="L9" s="47">
        <v>1361.59</v>
      </c>
      <c r="M9" s="47">
        <v>1.5</v>
      </c>
      <c r="N9" s="47"/>
      <c r="O9" s="47"/>
      <c r="P9" s="47"/>
      <c r="Q9" s="47"/>
      <c r="R9" s="47"/>
      <c r="S9" s="47"/>
      <c r="T9" s="47"/>
      <c r="U9" s="47"/>
    </row>
    <row r="10" spans="1:21" x14ac:dyDescent="0.25">
      <c r="A10" s="47" t="s">
        <v>79</v>
      </c>
      <c r="B10" s="47" t="b">
        <v>0</v>
      </c>
      <c r="C10" s="47" t="s">
        <v>80</v>
      </c>
      <c r="D10" s="47" t="s">
        <v>67</v>
      </c>
      <c r="E10" s="47" t="s">
        <v>7</v>
      </c>
      <c r="F10" s="47"/>
      <c r="G10" s="47" t="s">
        <v>49</v>
      </c>
      <c r="H10" s="47">
        <v>12803.84</v>
      </c>
      <c r="I10" s="47">
        <v>5.0999999999999996</v>
      </c>
      <c r="J10" s="47">
        <v>9958.26</v>
      </c>
      <c r="K10" s="47">
        <v>0.3</v>
      </c>
      <c r="L10" s="47">
        <v>26359.02</v>
      </c>
      <c r="M10" s="47">
        <v>1.6</v>
      </c>
      <c r="N10" s="47"/>
      <c r="O10" s="47"/>
      <c r="P10" s="47"/>
      <c r="Q10" s="47"/>
      <c r="R10" s="47"/>
      <c r="S10" s="47"/>
      <c r="T10" s="47"/>
      <c r="U10" s="47"/>
    </row>
    <row r="11" spans="1:21" x14ac:dyDescent="0.25">
      <c r="A11" s="47"/>
      <c r="B11" s="47" t="b">
        <v>0</v>
      </c>
      <c r="C11" s="47" t="s">
        <v>81</v>
      </c>
      <c r="D11" s="47" t="s">
        <v>67</v>
      </c>
      <c r="E11" s="47" t="s">
        <v>7</v>
      </c>
      <c r="F11" s="47"/>
      <c r="G11" s="47" t="s">
        <v>68</v>
      </c>
      <c r="H11" s="47">
        <v>3.34</v>
      </c>
      <c r="I11" s="47">
        <v>173.2</v>
      </c>
      <c r="J11" s="47">
        <v>3.34</v>
      </c>
      <c r="K11" s="47">
        <v>173.2</v>
      </c>
      <c r="L11" s="47">
        <v>6.67</v>
      </c>
      <c r="M11" s="47">
        <v>86.6</v>
      </c>
      <c r="N11" s="47"/>
      <c r="O11" s="47"/>
      <c r="P11" s="47"/>
      <c r="Q11" s="47"/>
      <c r="R11" s="47"/>
      <c r="S11" s="47"/>
      <c r="T11" s="47"/>
      <c r="U11" s="47"/>
    </row>
    <row r="12" spans="1:21" x14ac:dyDescent="0.25">
      <c r="A12" s="47"/>
      <c r="B12" s="47" t="b">
        <v>0</v>
      </c>
      <c r="C12" s="47" t="s">
        <v>82</v>
      </c>
      <c r="D12" s="47" t="s">
        <v>67</v>
      </c>
      <c r="E12" s="47" t="s">
        <v>7</v>
      </c>
      <c r="F12" s="47"/>
      <c r="G12" s="47" t="s">
        <v>47</v>
      </c>
      <c r="H12" s="47">
        <v>5834.45</v>
      </c>
      <c r="I12" s="47">
        <v>4.7</v>
      </c>
      <c r="J12" s="47">
        <v>4178.66</v>
      </c>
      <c r="K12" s="47">
        <v>6.2</v>
      </c>
      <c r="L12" s="47">
        <v>11544.52</v>
      </c>
      <c r="M12" s="47">
        <v>5</v>
      </c>
      <c r="N12" s="47"/>
      <c r="O12" s="47"/>
      <c r="P12" s="47"/>
      <c r="Q12" s="47"/>
      <c r="R12" s="47"/>
      <c r="S12" s="47"/>
      <c r="T12" s="47"/>
      <c r="U12" s="47"/>
    </row>
    <row r="13" spans="1:21" x14ac:dyDescent="0.25">
      <c r="A13" s="47"/>
      <c r="B13" s="47" t="b">
        <v>0</v>
      </c>
      <c r="C13" s="47" t="s">
        <v>83</v>
      </c>
      <c r="D13" s="47" t="s">
        <v>67</v>
      </c>
      <c r="E13" s="47" t="s">
        <v>7</v>
      </c>
      <c r="F13" s="47"/>
      <c r="G13" s="47" t="s">
        <v>50</v>
      </c>
      <c r="H13" s="47">
        <v>15506.44</v>
      </c>
      <c r="I13" s="47">
        <v>1.9</v>
      </c>
      <c r="J13" s="47">
        <v>11668.34</v>
      </c>
      <c r="K13" s="47">
        <v>1.2</v>
      </c>
      <c r="L13" s="47">
        <v>30699.74</v>
      </c>
      <c r="M13" s="47">
        <v>3.2</v>
      </c>
      <c r="N13" s="47"/>
      <c r="O13" s="47"/>
      <c r="P13" s="47"/>
      <c r="Q13" s="47"/>
      <c r="R13" s="47"/>
      <c r="S13" s="47"/>
      <c r="T13" s="47"/>
      <c r="U13" s="47"/>
    </row>
    <row r="14" spans="1:21" x14ac:dyDescent="0.25">
      <c r="A14" s="47"/>
      <c r="B14" s="47" t="b">
        <v>0</v>
      </c>
      <c r="C14" s="47" t="s">
        <v>84</v>
      </c>
      <c r="D14" s="47" t="s">
        <v>67</v>
      </c>
      <c r="E14" s="47" t="s">
        <v>7</v>
      </c>
      <c r="F14" s="47"/>
      <c r="G14" s="47" t="s">
        <v>41</v>
      </c>
      <c r="H14" s="47">
        <v>3.34</v>
      </c>
      <c r="I14" s="47">
        <v>173.2</v>
      </c>
      <c r="J14" s="47">
        <v>0</v>
      </c>
      <c r="K14" s="47" t="s">
        <v>69</v>
      </c>
      <c r="L14" s="47">
        <v>0</v>
      </c>
      <c r="M14" s="47" t="s">
        <v>69</v>
      </c>
      <c r="N14" s="47"/>
      <c r="O14" s="47"/>
      <c r="P14" s="47"/>
      <c r="Q14" s="47"/>
      <c r="R14" s="47"/>
      <c r="S14" s="47"/>
      <c r="T14" s="47"/>
      <c r="U14" s="47"/>
    </row>
    <row r="15" spans="1:21" x14ac:dyDescent="0.25">
      <c r="A15" s="47"/>
      <c r="B15" s="47" t="b">
        <v>0</v>
      </c>
      <c r="C15" s="47" t="s">
        <v>85</v>
      </c>
      <c r="D15" s="47" t="s">
        <v>67</v>
      </c>
      <c r="E15" s="47" t="s">
        <v>7</v>
      </c>
      <c r="F15" s="47"/>
      <c r="G15" s="47" t="s">
        <v>43</v>
      </c>
      <c r="H15" s="47">
        <v>7580.76</v>
      </c>
      <c r="I15" s="47">
        <v>5.4</v>
      </c>
      <c r="J15" s="47">
        <v>5514.01</v>
      </c>
      <c r="K15" s="47">
        <v>1.9</v>
      </c>
      <c r="L15" s="47">
        <v>15095.37</v>
      </c>
      <c r="M15" s="47">
        <v>3.3</v>
      </c>
      <c r="N15" s="47"/>
      <c r="O15" s="47"/>
      <c r="P15" s="47"/>
      <c r="Q15" s="47"/>
      <c r="R15" s="47"/>
      <c r="S15" s="47"/>
      <c r="T15" s="47"/>
      <c r="U15" s="47"/>
    </row>
    <row r="16" spans="1:21" x14ac:dyDescent="0.25">
      <c r="A16" s="47"/>
      <c r="B16" s="47" t="b">
        <v>0</v>
      </c>
      <c r="C16" s="47" t="s">
        <v>86</v>
      </c>
      <c r="D16" s="47" t="s">
        <v>67</v>
      </c>
      <c r="E16" s="47" t="s">
        <v>7</v>
      </c>
      <c r="F16" s="47"/>
      <c r="G16" s="47" t="s">
        <v>44</v>
      </c>
      <c r="H16" s="47">
        <v>9116.69</v>
      </c>
      <c r="I16" s="47">
        <v>3.9</v>
      </c>
      <c r="J16" s="47">
        <v>7019.68</v>
      </c>
      <c r="K16" s="47">
        <v>3.9</v>
      </c>
      <c r="L16" s="47">
        <v>18192.810000000001</v>
      </c>
      <c r="M16" s="47">
        <v>2.2999999999999998</v>
      </c>
      <c r="N16" s="47"/>
      <c r="O16" s="47"/>
      <c r="P16" s="47"/>
      <c r="Q16" s="47"/>
      <c r="R16" s="47"/>
      <c r="S16" s="47"/>
      <c r="T16" s="47"/>
      <c r="U16" s="47"/>
    </row>
    <row r="17" spans="1:21" x14ac:dyDescent="0.25">
      <c r="A17" s="47"/>
      <c r="B17" s="47" t="b">
        <v>0</v>
      </c>
      <c r="C17" s="47" t="s">
        <v>87</v>
      </c>
      <c r="D17" s="47" t="s">
        <v>67</v>
      </c>
      <c r="E17" s="47" t="s">
        <v>7</v>
      </c>
      <c r="F17" s="47"/>
      <c r="G17" s="47" t="s">
        <v>68</v>
      </c>
      <c r="H17" s="47">
        <v>0</v>
      </c>
      <c r="I17" s="47" t="s">
        <v>69</v>
      </c>
      <c r="J17" s="47">
        <v>10.01</v>
      </c>
      <c r="K17" s="47">
        <v>0</v>
      </c>
      <c r="L17" s="47">
        <v>0</v>
      </c>
      <c r="M17" s="47" t="s">
        <v>69</v>
      </c>
      <c r="N17" s="47"/>
      <c r="O17" s="47"/>
      <c r="P17" s="47"/>
      <c r="Q17" s="47"/>
      <c r="R17" s="47"/>
      <c r="S17" s="47"/>
      <c r="T17" s="47"/>
      <c r="U17" s="47"/>
    </row>
    <row r="18" spans="1:21" x14ac:dyDescent="0.25">
      <c r="A18" s="47"/>
      <c r="B18" s="47" t="b">
        <v>0</v>
      </c>
      <c r="C18" s="47" t="s">
        <v>88</v>
      </c>
      <c r="D18" s="47" t="s">
        <v>67</v>
      </c>
      <c r="E18" s="47" t="s">
        <v>7</v>
      </c>
      <c r="F18" s="47"/>
      <c r="G18" s="47" t="s">
        <v>68</v>
      </c>
      <c r="H18" s="47">
        <v>0</v>
      </c>
      <c r="I18" s="47" t="s">
        <v>69</v>
      </c>
      <c r="J18" s="47">
        <v>6.67</v>
      </c>
      <c r="K18" s="47">
        <v>86.6</v>
      </c>
      <c r="L18" s="47">
        <v>0</v>
      </c>
      <c r="M18" s="47" t="s">
        <v>69</v>
      </c>
      <c r="N18" s="47"/>
      <c r="O18" s="47"/>
      <c r="P18" s="47"/>
      <c r="Q18" s="47"/>
      <c r="R18" s="47"/>
      <c r="S18" s="47"/>
      <c r="T18" s="47"/>
      <c r="U18" s="47"/>
    </row>
    <row r="19" spans="1:2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2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</row>
    <row r="22" spans="1:2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</row>
    <row r="23" spans="1:2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U37"/>
  <sheetViews>
    <sheetView tabSelected="1" zoomScaleNormal="100" workbookViewId="0">
      <selection activeCell="E30" sqref="E30"/>
    </sheetView>
  </sheetViews>
  <sheetFormatPr defaultRowHeight="15" x14ac:dyDescent="0.25"/>
  <cols>
    <col min="1" max="1" width="11.5703125" bestFit="1" customWidth="1"/>
    <col min="2" max="2" width="16.140625" bestFit="1" customWidth="1"/>
    <col min="3" max="3" width="12.28515625" bestFit="1" customWidth="1"/>
    <col min="4" max="4" width="23.140625" bestFit="1" customWidth="1"/>
    <col min="5" max="5" width="16.7109375" bestFit="1" customWidth="1"/>
    <col min="6" max="6" width="11.5703125" bestFit="1" customWidth="1"/>
    <col min="7" max="7" width="16" bestFit="1" customWidth="1"/>
    <col min="8" max="8" width="16.7109375" bestFit="1" customWidth="1"/>
    <col min="9" max="9" width="15" customWidth="1"/>
    <col min="10" max="10" width="12.7109375" bestFit="1" customWidth="1"/>
    <col min="11" max="11" width="16.7109375" bestFit="1" customWidth="1"/>
    <col min="12" max="12" width="12.7109375" bestFit="1" customWidth="1"/>
    <col min="13" max="13" width="15.7109375" bestFit="1" customWidth="1"/>
    <col min="14" max="15" width="12.7109375" bestFit="1" customWidth="1"/>
    <col min="16" max="16" width="13" bestFit="1" customWidth="1"/>
  </cols>
  <sheetData>
    <row r="1" spans="1:21" x14ac:dyDescent="0.25">
      <c r="A1" s="47"/>
      <c r="D1" s="47" t="s">
        <v>56</v>
      </c>
      <c r="E1" s="47" t="s">
        <v>57</v>
      </c>
      <c r="F1" s="47" t="s">
        <v>58</v>
      </c>
      <c r="J1" s="52" t="s">
        <v>56</v>
      </c>
      <c r="L1" s="52" t="s">
        <v>57</v>
      </c>
      <c r="N1" s="53" t="s">
        <v>58</v>
      </c>
    </row>
    <row r="2" spans="1:21" x14ac:dyDescent="0.25">
      <c r="A2" s="48" t="s">
        <v>89</v>
      </c>
      <c r="B2" s="49" t="s">
        <v>7</v>
      </c>
      <c r="C2" s="49" t="s">
        <v>90</v>
      </c>
      <c r="D2" s="48" t="s">
        <v>64</v>
      </c>
      <c r="E2" s="48" t="s">
        <v>91</v>
      </c>
      <c r="F2" s="48" t="s">
        <v>92</v>
      </c>
      <c r="U2" s="54" t="s">
        <v>93</v>
      </c>
    </row>
    <row r="3" spans="1:21" x14ac:dyDescent="0.25">
      <c r="A3" s="47" t="s">
        <v>46</v>
      </c>
      <c r="B3">
        <v>1.0123</v>
      </c>
      <c r="C3">
        <v>0</v>
      </c>
      <c r="D3" s="47">
        <v>674.1</v>
      </c>
      <c r="E3" s="47">
        <v>473.88</v>
      </c>
      <c r="F3" s="47">
        <v>1361.59</v>
      </c>
      <c r="I3" t="s">
        <v>106</v>
      </c>
      <c r="J3">
        <f>INTERCEPT(D3:D7,C3:C7)</f>
        <v>1448.9769775725817</v>
      </c>
      <c r="L3">
        <f>INTERCEPT(E3:E7,$C$3:$C$7)</f>
        <v>1057.1135239655687</v>
      </c>
      <c r="N3">
        <f>INTERCEPT(F3:F7,$C$3:$C$7)</f>
        <v>2936.5386703402437</v>
      </c>
      <c r="Q3" t="s">
        <v>105</v>
      </c>
      <c r="R3">
        <f>AVERAGE(B3:B7)</f>
        <v>1.0103599999999999</v>
      </c>
      <c r="T3" t="s">
        <v>94</v>
      </c>
      <c r="U3">
        <f>Prep!R9</f>
        <v>2.3811828603476488E-2</v>
      </c>
    </row>
    <row r="4" spans="1:21" x14ac:dyDescent="0.25">
      <c r="A4" s="47" t="s">
        <v>47</v>
      </c>
      <c r="B4">
        <v>1.0075000000000001</v>
      </c>
      <c r="C4">
        <v>0.54249999999999998</v>
      </c>
      <c r="D4" s="47">
        <v>5834.45</v>
      </c>
      <c r="E4" s="47">
        <v>4178.66</v>
      </c>
      <c r="F4" s="47">
        <v>11544.52</v>
      </c>
      <c r="I4" t="s">
        <v>107</v>
      </c>
      <c r="J4">
        <f>SLOPE(D3:D7,C3:C7)</f>
        <v>7172.6053122217736</v>
      </c>
      <c r="L4">
        <f>SLOPE(E3:E7,$C$3:$C$7)</f>
        <v>5518.3883831863541</v>
      </c>
      <c r="N4">
        <f>SLOPE(F3:F7,$C$3:$C$7)</f>
        <v>14384.411545850215</v>
      </c>
    </row>
    <row r="5" spans="1:21" x14ac:dyDescent="0.25">
      <c r="A5" s="47" t="s">
        <v>48</v>
      </c>
      <c r="B5">
        <v>1.0105999999999999</v>
      </c>
      <c r="C5">
        <v>1.0916999999999999</v>
      </c>
      <c r="D5" s="47">
        <v>9978.23</v>
      </c>
      <c r="E5" s="47">
        <v>7897.95</v>
      </c>
      <c r="F5" s="47">
        <v>20027.41</v>
      </c>
      <c r="I5" t="s">
        <v>115</v>
      </c>
      <c r="J5">
        <f>-J3/J4</f>
        <v>-0.20201543435041586</v>
      </c>
      <c r="L5">
        <f>-L3/L4</f>
        <v>-0.19156200154132397</v>
      </c>
      <c r="N5">
        <f>-N3/N4</f>
        <v>-0.20414729243389948</v>
      </c>
    </row>
    <row r="6" spans="1:21" x14ac:dyDescent="0.25">
      <c r="A6" s="47" t="s">
        <v>49</v>
      </c>
      <c r="B6" s="45">
        <v>1.0109999999999999</v>
      </c>
      <c r="C6">
        <v>1.5384</v>
      </c>
      <c r="D6" s="47">
        <v>12803.84</v>
      </c>
      <c r="E6" s="47">
        <v>9958.26</v>
      </c>
      <c r="F6" s="47">
        <v>26359.02</v>
      </c>
      <c r="I6" s="55" t="s">
        <v>108</v>
      </c>
      <c r="J6" s="55">
        <f>-1*J5*$U$3/($R$3)</f>
        <v>4.7610326002701601E-3</v>
      </c>
      <c r="K6" s="55"/>
      <c r="L6" s="55">
        <f>-1*L5*$U$3/($R$3)</f>
        <v>4.514669570886521E-3</v>
      </c>
      <c r="M6" s="55"/>
      <c r="N6" s="55">
        <f>-1*N5*$U$3/($R$3)</f>
        <v>4.8112755228827426E-3</v>
      </c>
      <c r="O6" s="55"/>
    </row>
    <row r="7" spans="1:21" ht="15.75" thickBot="1" x14ac:dyDescent="0.3">
      <c r="A7" s="50" t="s">
        <v>50</v>
      </c>
      <c r="B7" s="51">
        <v>1.0104</v>
      </c>
      <c r="C7" s="51">
        <v>2.0629</v>
      </c>
      <c r="D7" s="50">
        <v>15506.44</v>
      </c>
      <c r="E7" s="50">
        <v>11668.34</v>
      </c>
      <c r="F7" s="50">
        <v>30699.74</v>
      </c>
    </row>
    <row r="8" spans="1:21" x14ac:dyDescent="0.25">
      <c r="L8" s="47"/>
      <c r="M8" s="47"/>
      <c r="N8" s="47"/>
      <c r="O8" s="47"/>
    </row>
    <row r="9" spans="1:21" x14ac:dyDescent="0.25">
      <c r="B9" s="79" t="s">
        <v>109</v>
      </c>
      <c r="C9" s="79"/>
      <c r="D9" s="79"/>
      <c r="F9" s="79" t="s">
        <v>110</v>
      </c>
      <c r="G9" s="79"/>
      <c r="H9" s="79"/>
      <c r="J9" s="79" t="s">
        <v>111</v>
      </c>
      <c r="K9" s="79"/>
      <c r="L9" s="79"/>
      <c r="M9" s="47"/>
      <c r="N9" s="47"/>
      <c r="O9" s="47"/>
    </row>
    <row r="10" spans="1:21" x14ac:dyDescent="0.25">
      <c r="A10" t="s">
        <v>7</v>
      </c>
      <c r="B10" s="47" t="s">
        <v>56</v>
      </c>
      <c r="C10" s="47" t="s">
        <v>57</v>
      </c>
      <c r="D10" s="47" t="s">
        <v>58</v>
      </c>
      <c r="E10" t="s">
        <v>95</v>
      </c>
      <c r="F10">
        <v>147</v>
      </c>
      <c r="G10">
        <v>148</v>
      </c>
      <c r="H10">
        <v>152</v>
      </c>
      <c r="I10" t="s">
        <v>96</v>
      </c>
      <c r="J10" s="56" t="s">
        <v>97</v>
      </c>
      <c r="K10" s="56" t="s">
        <v>98</v>
      </c>
      <c r="L10" s="56" t="s">
        <v>99</v>
      </c>
      <c r="M10" s="47"/>
      <c r="N10" s="47" t="s">
        <v>124</v>
      </c>
      <c r="O10" s="47">
        <v>150.36000000000001</v>
      </c>
    </row>
    <row r="11" spans="1:21" x14ac:dyDescent="0.25">
      <c r="A11" t="s">
        <v>100</v>
      </c>
      <c r="B11">
        <f>J6</f>
        <v>4.7610326002701601E-3</v>
      </c>
      <c r="C11" s="57">
        <f>L6</f>
        <v>4.514669570886521E-3</v>
      </c>
      <c r="D11" s="57">
        <f>N6</f>
        <v>4.8112755228827426E-3</v>
      </c>
      <c r="E11" s="34">
        <f>Prep!I12</f>
        <v>7812.7285428211871</v>
      </c>
      <c r="F11">
        <f>B11*E11</f>
        <v>37.196655289432854</v>
      </c>
      <c r="G11">
        <f>C11*E11</f>
        <v>35.271887817871402</v>
      </c>
      <c r="H11">
        <f>D11*$E11</f>
        <v>37.589189605002936</v>
      </c>
      <c r="I11">
        <f>Prep!K3</f>
        <v>5363.0012833253568</v>
      </c>
      <c r="J11">
        <f>(F11/$I11)*100</f>
        <v>0.69357908611889929</v>
      </c>
      <c r="K11">
        <f>(G11/$I11)*100</f>
        <v>0.657689341368214</v>
      </c>
      <c r="L11">
        <f>(H11/$I11)*100</f>
        <v>0.70089838915152303</v>
      </c>
      <c r="M11" s="47"/>
      <c r="N11" s="47" t="s">
        <v>125</v>
      </c>
      <c r="O11" s="47">
        <v>256.76</v>
      </c>
    </row>
    <row r="12" spans="1:21" x14ac:dyDescent="0.25">
      <c r="J12" s="47"/>
      <c r="N12" s="47"/>
      <c r="O12" s="47"/>
    </row>
    <row r="13" spans="1:21" x14ac:dyDescent="0.25">
      <c r="A13" s="17"/>
      <c r="B13" s="62"/>
      <c r="C13" s="62"/>
      <c r="D13" s="62"/>
      <c r="E13" s="78" t="s">
        <v>119</v>
      </c>
      <c r="F13" s="78"/>
      <c r="G13" s="78"/>
      <c r="H13" s="78" t="s">
        <v>120</v>
      </c>
      <c r="I13" s="78"/>
      <c r="J13" s="78"/>
      <c r="K13" s="78" t="s">
        <v>121</v>
      </c>
      <c r="L13" s="78"/>
      <c r="M13" s="78"/>
    </row>
    <row r="14" spans="1:21" x14ac:dyDescent="0.25">
      <c r="A14" s="13" t="s">
        <v>101</v>
      </c>
      <c r="B14" s="12" t="s">
        <v>103</v>
      </c>
      <c r="C14" s="12" t="s">
        <v>104</v>
      </c>
      <c r="D14" s="12" t="s">
        <v>122</v>
      </c>
      <c r="E14" s="61" t="s">
        <v>112</v>
      </c>
      <c r="F14" s="61" t="s">
        <v>113</v>
      </c>
      <c r="G14" s="61" t="s">
        <v>114</v>
      </c>
      <c r="H14" s="61" t="s">
        <v>112</v>
      </c>
      <c r="I14" s="61" t="s">
        <v>113</v>
      </c>
      <c r="J14" s="61" t="s">
        <v>114</v>
      </c>
      <c r="K14" s="61" t="s">
        <v>112</v>
      </c>
      <c r="L14" s="61" t="s">
        <v>113</v>
      </c>
      <c r="M14" s="63" t="s">
        <v>114</v>
      </c>
    </row>
    <row r="15" spans="1:21" x14ac:dyDescent="0.25">
      <c r="A15" s="9" t="s">
        <v>102</v>
      </c>
      <c r="D15">
        <v>-10</v>
      </c>
      <c r="F15">
        <f>$F$22*D15+$F$21</f>
        <v>-1600.3561960022084</v>
      </c>
      <c r="I15">
        <f>$I$22*D15+$I$21</f>
        <v>-1288.6126431219711</v>
      </c>
      <c r="L15">
        <f>$L$22*D15+$L$21</f>
        <v>-3178.2985586996074</v>
      </c>
      <c r="M15" s="64"/>
    </row>
    <row r="16" spans="1:21" x14ac:dyDescent="0.25">
      <c r="A16" s="65" t="s">
        <v>46</v>
      </c>
      <c r="B16" s="58">
        <f t="shared" ref="B16:C19" si="0">B3</f>
        <v>1.0123</v>
      </c>
      <c r="C16" s="58">
        <f t="shared" si="0"/>
        <v>0</v>
      </c>
      <c r="D16" s="58">
        <f>C16*$U$3/B16*1000</f>
        <v>0</v>
      </c>
      <c r="E16" s="58">
        <f>D3</f>
        <v>674.1</v>
      </c>
      <c r="F16" s="58">
        <f t="shared" ref="F16:F20" si="1">$F$22*D16+$F$21</f>
        <v>1444.667766288429</v>
      </c>
      <c r="G16" s="58">
        <f>E16-F16</f>
        <v>-770.56776628842897</v>
      </c>
      <c r="H16" s="58">
        <f>E3</f>
        <v>473.88</v>
      </c>
      <c r="I16" s="58">
        <f t="shared" ref="I16:I20" si="2">$I$22*D16+$I$21</f>
        <v>1054.0397299314693</v>
      </c>
      <c r="J16" s="58">
        <f>H16-I16</f>
        <v>-580.15972993146931</v>
      </c>
      <c r="K16" s="58">
        <f>F3</f>
        <v>1361.59</v>
      </c>
      <c r="L16" s="58">
        <f t="shared" ref="L16:L20" si="3">$L$22*D16+$L$21</f>
        <v>2928.2491228762083</v>
      </c>
      <c r="M16" s="66">
        <f>K16-L16</f>
        <v>-1566.6591228762084</v>
      </c>
    </row>
    <row r="17" spans="1:13" x14ac:dyDescent="0.25">
      <c r="A17" s="67" t="s">
        <v>47</v>
      </c>
      <c r="B17" s="59">
        <f t="shared" si="0"/>
        <v>1.0075000000000001</v>
      </c>
      <c r="C17" s="59">
        <f t="shared" si="0"/>
        <v>0.54249999999999998</v>
      </c>
      <c r="D17" s="59">
        <f t="shared" ref="D17:D20" si="4">C17*$U$3/B17*1000</f>
        <v>12.821753863410416</v>
      </c>
      <c r="E17" s="59">
        <f t="shared" ref="E17:E20" si="5">D4</f>
        <v>5834.45</v>
      </c>
      <c r="F17" s="59">
        <f t="shared" si="1"/>
        <v>5348.9225415561559</v>
      </c>
      <c r="G17" s="59">
        <f t="shared" ref="G17:G20" si="6">E17-F17</f>
        <v>485.5274584438439</v>
      </c>
      <c r="H17" s="59">
        <f t="shared" ref="H17:H20" si="7">E4</f>
        <v>4178.66</v>
      </c>
      <c r="I17" s="59">
        <f t="shared" si="2"/>
        <v>4057.7309414140227</v>
      </c>
      <c r="J17" s="59">
        <f t="shared" ref="J17:J20" si="8">H17-I17</f>
        <v>120.92905858597715</v>
      </c>
      <c r="K17" s="59">
        <f t="shared" ref="K17:K20" si="9">F4</f>
        <v>11544.52</v>
      </c>
      <c r="L17" s="59">
        <f t="shared" si="3"/>
        <v>10757.914255710672</v>
      </c>
      <c r="M17" s="68">
        <f t="shared" ref="M17:M20" si="10">K17-L17</f>
        <v>786.60574428932887</v>
      </c>
    </row>
    <row r="18" spans="1:13" x14ac:dyDescent="0.25">
      <c r="A18" s="65" t="s">
        <v>48</v>
      </c>
      <c r="B18" s="58">
        <f t="shared" si="0"/>
        <v>1.0105999999999999</v>
      </c>
      <c r="C18" s="58">
        <f t="shared" si="0"/>
        <v>1.0916999999999999</v>
      </c>
      <c r="D18" s="58">
        <f t="shared" si="4"/>
        <v>25.722712533559548</v>
      </c>
      <c r="E18" s="58">
        <f t="shared" si="5"/>
        <v>9978.23</v>
      </c>
      <c r="F18" s="58">
        <f t="shared" si="1"/>
        <v>9277.2953702686827</v>
      </c>
      <c r="G18" s="58">
        <f t="shared" si="6"/>
        <v>700.93462973131682</v>
      </c>
      <c r="H18" s="58">
        <f t="shared" si="7"/>
        <v>7897.95</v>
      </c>
      <c r="I18" s="58">
        <f t="shared" si="2"/>
        <v>7079.9770857429439</v>
      </c>
      <c r="J18" s="58">
        <f t="shared" si="8"/>
        <v>817.97291425705589</v>
      </c>
      <c r="K18" s="58">
        <f t="shared" si="9"/>
        <v>20027.41</v>
      </c>
      <c r="L18" s="58">
        <f t="shared" si="3"/>
        <v>18635.946181441133</v>
      </c>
      <c r="M18" s="66">
        <f t="shared" si="10"/>
        <v>1391.4638185588665</v>
      </c>
    </row>
    <row r="19" spans="1:13" x14ac:dyDescent="0.25">
      <c r="A19" s="67" t="s">
        <v>49</v>
      </c>
      <c r="B19" s="59">
        <f t="shared" si="0"/>
        <v>1.0109999999999999</v>
      </c>
      <c r="C19" s="59">
        <f t="shared" si="0"/>
        <v>1.5384</v>
      </c>
      <c r="D19" s="59">
        <f t="shared" si="4"/>
        <v>36.233548094548198</v>
      </c>
      <c r="E19" s="59">
        <f t="shared" si="5"/>
        <v>12803.84</v>
      </c>
      <c r="F19" s="59">
        <f t="shared" si="1"/>
        <v>12477.869984959381</v>
      </c>
      <c r="G19" s="59">
        <f t="shared" si="6"/>
        <v>325.97001504061882</v>
      </c>
      <c r="H19" s="59">
        <f>E6</f>
        <v>9958.26</v>
      </c>
      <c r="I19" s="59">
        <f t="shared" si="2"/>
        <v>9542.3004727154002</v>
      </c>
      <c r="J19" s="59">
        <f t="shared" si="8"/>
        <v>415.95952728459997</v>
      </c>
      <c r="K19" s="59">
        <f t="shared" si="9"/>
        <v>26359.02</v>
      </c>
      <c r="L19" s="59">
        <f t="shared" si="3"/>
        <v>25054.438034079118</v>
      </c>
      <c r="M19" s="68">
        <f t="shared" si="10"/>
        <v>1304.5819659208828</v>
      </c>
    </row>
    <row r="20" spans="1:13" x14ac:dyDescent="0.25">
      <c r="A20" s="69" t="s">
        <v>50</v>
      </c>
      <c r="B20" s="60">
        <f>B7</f>
        <v>1.0104</v>
      </c>
      <c r="C20" s="60">
        <f t="shared" ref="C20" si="11">C7</f>
        <v>2.0629</v>
      </c>
      <c r="D20" s="60">
        <f t="shared" si="4"/>
        <v>48.615816732097834</v>
      </c>
      <c r="E20" s="60">
        <f t="shared" si="5"/>
        <v>15506.44</v>
      </c>
      <c r="F20" s="60">
        <f t="shared" si="1"/>
        <v>16248.300455845228</v>
      </c>
      <c r="G20" s="60">
        <f t="shared" si="6"/>
        <v>-741.86045584522799</v>
      </c>
      <c r="H20" s="60">
        <f t="shared" si="7"/>
        <v>11668.34</v>
      </c>
      <c r="I20" s="60">
        <f t="shared" si="2"/>
        <v>12443.035573469484</v>
      </c>
      <c r="J20" s="60">
        <f t="shared" si="8"/>
        <v>-774.69557346948386</v>
      </c>
      <c r="K20" s="60">
        <f t="shared" si="9"/>
        <v>30699.74</v>
      </c>
      <c r="L20" s="60">
        <f t="shared" si="3"/>
        <v>32615.729418206884</v>
      </c>
      <c r="M20" s="70">
        <f t="shared" si="10"/>
        <v>-1915.989418206882</v>
      </c>
    </row>
    <row r="21" spans="1:13" x14ac:dyDescent="0.25">
      <c r="A21" s="9"/>
      <c r="E21" t="s">
        <v>106</v>
      </c>
      <c r="F21">
        <v>1444.667766288429</v>
      </c>
      <c r="G21" s="71">
        <f>SUMSQ(G16:G20)</f>
        <v>1977434.3371547265</v>
      </c>
      <c r="H21" t="s">
        <v>106</v>
      </c>
      <c r="I21">
        <v>1054.0397299314693</v>
      </c>
      <c r="J21" s="71">
        <f>SUMSQ(J16:J20)</f>
        <v>1793464.3977948674</v>
      </c>
      <c r="K21" t="s">
        <v>106</v>
      </c>
      <c r="L21">
        <v>2928.2491228762083</v>
      </c>
      <c r="M21" s="72">
        <f>SUMSQ(M16:M20)</f>
        <v>10382290.519085383</v>
      </c>
    </row>
    <row r="22" spans="1:13" x14ac:dyDescent="0.25">
      <c r="A22" s="9"/>
      <c r="E22" t="s">
        <v>123</v>
      </c>
      <c r="F22">
        <v>304.50239622906372</v>
      </c>
      <c r="H22" t="s">
        <v>123</v>
      </c>
      <c r="I22">
        <v>234.26523730534404</v>
      </c>
      <c r="K22" t="s">
        <v>123</v>
      </c>
      <c r="L22">
        <v>610.65476815758154</v>
      </c>
      <c r="M22" s="64"/>
    </row>
    <row r="23" spans="1:13" x14ac:dyDescent="0.25">
      <c r="A23" s="9"/>
      <c r="E23" t="s">
        <v>117</v>
      </c>
      <c r="F23">
        <f>F21/F22</f>
        <v>4.744355985959694</v>
      </c>
      <c r="H23" t="s">
        <v>117</v>
      </c>
      <c r="I23">
        <f>I21/I22</f>
        <v>4.4993433172401147</v>
      </c>
      <c r="K23" t="s">
        <v>117</v>
      </c>
      <c r="L23">
        <f>L21/L22</f>
        <v>4.7952612107018933</v>
      </c>
      <c r="M23" s="64"/>
    </row>
    <row r="24" spans="1:13" x14ac:dyDescent="0.25">
      <c r="A24" s="9"/>
      <c r="E24" t="s">
        <v>116</v>
      </c>
      <c r="F24">
        <f>F23*$E$11/$I$11/1000</f>
        <v>6.9114966546919539E-3</v>
      </c>
      <c r="H24" t="s">
        <v>116</v>
      </c>
      <c r="I24">
        <f>I23*$E$11/$I$11/1000</f>
        <v>6.5545663895044482E-3</v>
      </c>
      <c r="K24" t="s">
        <v>116</v>
      </c>
      <c r="L24">
        <f>L23*$E$11/$I$11/1000</f>
        <v>6.9856545154328535E-3</v>
      </c>
      <c r="M24" s="64"/>
    </row>
    <row r="25" spans="1:13" x14ac:dyDescent="0.25">
      <c r="A25" s="9"/>
      <c r="E25" t="s">
        <v>126</v>
      </c>
      <c r="F25" s="74">
        <f>F24*256.76/150.36</f>
        <v>1.1802313654287747E-2</v>
      </c>
      <c r="I25" s="74">
        <f>I24*256.76/150.36</f>
        <v>1.1192807037570909E-2</v>
      </c>
      <c r="L25" s="74">
        <f>L24*256.76/150.36</f>
        <v>1.1928948213504518E-2</v>
      </c>
      <c r="M25" s="64"/>
    </row>
    <row r="26" spans="1:13" x14ac:dyDescent="0.25">
      <c r="A26" s="9"/>
      <c r="M26" s="64"/>
    </row>
    <row r="27" spans="1:13" x14ac:dyDescent="0.25">
      <c r="A27" s="9"/>
      <c r="E27" s="75">
        <f>AVERAGE(F25,I25,L25)</f>
        <v>1.1641356301787725E-2</v>
      </c>
      <c r="M27" s="64"/>
    </row>
    <row r="28" spans="1:13" x14ac:dyDescent="0.25">
      <c r="A28" s="9"/>
      <c r="M28" s="64"/>
    </row>
    <row r="29" spans="1:13" x14ac:dyDescent="0.25">
      <c r="A29" s="9"/>
      <c r="M29" s="64"/>
    </row>
    <row r="30" spans="1:13" x14ac:dyDescent="0.25">
      <c r="A30" s="9"/>
      <c r="M30" s="64"/>
    </row>
    <row r="31" spans="1:13" x14ac:dyDescent="0.25">
      <c r="A31" s="9"/>
      <c r="M31" s="64"/>
    </row>
    <row r="32" spans="1:13" x14ac:dyDescent="0.25">
      <c r="A32" s="9"/>
      <c r="M32" s="64"/>
    </row>
    <row r="33" spans="1:13" x14ac:dyDescent="0.25">
      <c r="A33" s="9"/>
      <c r="M33" s="64"/>
    </row>
    <row r="34" spans="1:13" x14ac:dyDescent="0.25">
      <c r="A34" s="9"/>
      <c r="M34" s="64"/>
    </row>
    <row r="35" spans="1:13" x14ac:dyDescent="0.25">
      <c r="A35" s="9"/>
      <c r="M35" s="64"/>
    </row>
    <row r="36" spans="1:13" x14ac:dyDescent="0.25">
      <c r="A36" s="9"/>
      <c r="B36" t="s">
        <v>118</v>
      </c>
      <c r="M36" s="64"/>
    </row>
    <row r="37" spans="1:13" x14ac:dyDescent="0.25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73"/>
    </row>
  </sheetData>
  <mergeCells count="6">
    <mergeCell ref="K13:M13"/>
    <mergeCell ref="E13:G13"/>
    <mergeCell ref="H13:J13"/>
    <mergeCell ref="B9:D9"/>
    <mergeCell ref="F9:H9"/>
    <mergeCell ref="J9:L9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2024-12-09T18:29:32Z</dcterms:modified>
  <cp:category/>
  <cp:contentStatus/>
</cp:coreProperties>
</file>