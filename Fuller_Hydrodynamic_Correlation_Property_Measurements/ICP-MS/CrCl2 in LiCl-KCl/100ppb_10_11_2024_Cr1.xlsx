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1221" documentId="11_4AB480A97D773D78B6F332151CC35944F734729B" xr6:coauthVersionLast="47" xr6:coauthVersionMax="47" xr10:uidLastSave="{3E06C27F-C4A1-4FEB-805F-41567B58A237}"/>
  <bookViews>
    <workbookView xWindow="19200" yWindow="0" windowWidth="19200" windowHeight="21000" activeTab="3" xr2:uid="{00000000-000D-0000-FFFF-FFFF00000000}"/>
  </bookViews>
  <sheets>
    <sheet name="Prep" sheetId="1" r:id="rId1"/>
    <sheet name="Randomizer" sheetId="2" r:id="rId2"/>
    <sheet name="Full" sheetId="4" r:id="rId3"/>
    <sheet name="Calculations" sheetId="5" r:id="rId4"/>
  </sheets>
  <definedNames>
    <definedName name="solver_adj" localSheetId="3" hidden="1">Calculations!$F$21:$F$22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2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Calculations!$G$21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5" l="1"/>
  <c r="D16" i="5"/>
  <c r="C10" i="5"/>
  <c r="B10" i="5"/>
  <c r="F23" i="5"/>
  <c r="E20" i="5"/>
  <c r="D20" i="5"/>
  <c r="F20" i="5" s="1"/>
  <c r="C20" i="5"/>
  <c r="B20" i="5"/>
  <c r="E19" i="5"/>
  <c r="C19" i="5"/>
  <c r="D19" i="5" s="1"/>
  <c r="F19" i="5" s="1"/>
  <c r="B19" i="5"/>
  <c r="E18" i="5"/>
  <c r="D18" i="5"/>
  <c r="F18" i="5" s="1"/>
  <c r="C18" i="5"/>
  <c r="B18" i="5"/>
  <c r="E17" i="5"/>
  <c r="C17" i="5"/>
  <c r="F17" i="5" s="1"/>
  <c r="G17" i="5" s="1"/>
  <c r="B17" i="5"/>
  <c r="E16" i="5"/>
  <c r="F16" i="5"/>
  <c r="C16" i="5"/>
  <c r="B16" i="5"/>
  <c r="F15" i="5"/>
  <c r="E10" i="5"/>
  <c r="M3" i="5"/>
  <c r="D10" i="5"/>
  <c r="F10" i="5" s="1"/>
  <c r="G4" i="5"/>
  <c r="J3" i="5"/>
  <c r="G3" i="5"/>
  <c r="G6" i="5" s="1"/>
  <c r="AA8" i="1"/>
  <c r="Z8" i="1"/>
  <c r="AD8" i="1" s="1"/>
  <c r="Y8" i="1"/>
  <c r="AC8" i="1" s="1"/>
  <c r="Y9" i="1" s="1"/>
  <c r="Y10" i="1" s="1"/>
  <c r="L3" i="1"/>
  <c r="F3" i="1"/>
  <c r="I2" i="1"/>
  <c r="S8" i="1"/>
  <c r="R8" i="1"/>
  <c r="U8" i="1" s="1"/>
  <c r="R9" i="1" s="1"/>
  <c r="U17" i="1"/>
  <c r="U16" i="1"/>
  <c r="U15" i="1"/>
  <c r="U14" i="1"/>
  <c r="U13" i="1"/>
  <c r="E5" i="2"/>
  <c r="E6" i="2"/>
  <c r="E4" i="2"/>
  <c r="E3" i="2"/>
  <c r="E2" i="2"/>
  <c r="F13" i="1"/>
  <c r="E13" i="1"/>
  <c r="D13" i="1"/>
  <c r="C13" i="1"/>
  <c r="B13" i="1"/>
  <c r="I12" i="1"/>
  <c r="U22" i="1"/>
  <c r="U21" i="1"/>
  <c r="U20" i="1"/>
  <c r="U19" i="1"/>
  <c r="U18" i="1"/>
  <c r="I7" i="1"/>
  <c r="K3" i="1"/>
  <c r="G18" i="5" l="1"/>
  <c r="F24" i="5"/>
  <c r="F25" i="5" s="1"/>
  <c r="G16" i="5"/>
  <c r="G19" i="5"/>
  <c r="G20" i="5"/>
  <c r="K12" i="1"/>
  <c r="J12" i="1" s="1"/>
  <c r="G21" i="5" l="1"/>
  <c r="K7" i="1"/>
  <c r="J7" i="1" s="1"/>
</calcChain>
</file>

<file path=xl/sharedStrings.xml><?xml version="1.0" encoding="utf-8"?>
<sst xmlns="http://schemas.openxmlformats.org/spreadsheetml/2006/main" count="176" uniqueCount="107">
  <si>
    <t>Flask</t>
  </si>
  <si>
    <t>Sample Name</t>
  </si>
  <si>
    <t>Solute</t>
  </si>
  <si>
    <t>Solvent</t>
  </si>
  <si>
    <t>flask w/ lid</t>
  </si>
  <si>
    <t>+ solvent</t>
  </si>
  <si>
    <t>+ sample</t>
  </si>
  <si>
    <t>Sample</t>
  </si>
  <si>
    <t>Total Solution</t>
  </si>
  <si>
    <t>Mass Frac</t>
  </si>
  <si>
    <t>PPM</t>
  </si>
  <si>
    <t>Cr PPM</t>
  </si>
  <si>
    <t xml:space="preserve"> Sm Standard Preperetion</t>
  </si>
  <si>
    <t>Cr Standard Preperetion</t>
  </si>
  <si>
    <t>B15</t>
  </si>
  <si>
    <t>Blank</t>
  </si>
  <si>
    <t>2% HNO3</t>
  </si>
  <si>
    <t>Sm ICrtial Concentration</t>
  </si>
  <si>
    <t>Target Concentration</t>
  </si>
  <si>
    <t>Cr ICrtial Concentration</t>
  </si>
  <si>
    <t>B18</t>
  </si>
  <si>
    <t>Cr 1</t>
  </si>
  <si>
    <t>ppm</t>
  </si>
  <si>
    <t xml:space="preserve">Blank </t>
  </si>
  <si>
    <t>Final</t>
  </si>
  <si>
    <t>Goal (ppm)</t>
  </si>
  <si>
    <t>Dilution (x)</t>
  </si>
  <si>
    <t>C_Cr (ppm)</t>
  </si>
  <si>
    <t>C_actual (ppm)</t>
  </si>
  <si>
    <t>Solution</t>
  </si>
  <si>
    <t>Dilution(x)</t>
  </si>
  <si>
    <t>P. Dilution(x)</t>
  </si>
  <si>
    <t>Dilution</t>
  </si>
  <si>
    <t>Final Concentration</t>
  </si>
  <si>
    <t>Partial Conc</t>
  </si>
  <si>
    <t>Final Conc</t>
  </si>
  <si>
    <t>NAME</t>
  </si>
  <si>
    <t>Sample Weight</t>
  </si>
  <si>
    <t>Stan Weight</t>
  </si>
  <si>
    <t>HNO3 Weight</t>
  </si>
  <si>
    <t>Total</t>
  </si>
  <si>
    <t>Blank - 0</t>
  </si>
  <si>
    <t>Blank - 0.5</t>
  </si>
  <si>
    <t>Blank - 1</t>
  </si>
  <si>
    <t>Blank - 1.5</t>
  </si>
  <si>
    <t xml:space="preserve">Blank - 2 </t>
  </si>
  <si>
    <t>Cr1 - 0</t>
  </si>
  <si>
    <t>Cr1 - 0.5</t>
  </si>
  <si>
    <t>Cr1 - 1</t>
  </si>
  <si>
    <t>Cr1 - 1.5</t>
  </si>
  <si>
    <t>Cr1 - 2</t>
  </si>
  <si>
    <t>Column1</t>
  </si>
  <si>
    <t>Column2</t>
  </si>
  <si>
    <t>Column3</t>
  </si>
  <si>
    <t>Column4</t>
  </si>
  <si>
    <t>Column5</t>
  </si>
  <si>
    <t xml:space="preserve">52  Cr  [ He ] </t>
  </si>
  <si>
    <t>Rjct</t>
  </si>
  <si>
    <t>Data File</t>
  </si>
  <si>
    <t>Acq. Date-Time</t>
  </si>
  <si>
    <t>Type</t>
  </si>
  <si>
    <t>Level</t>
  </si>
  <si>
    <t>CPS</t>
  </si>
  <si>
    <t>CPS RSD</t>
  </si>
  <si>
    <t>001SMPL.d</t>
  </si>
  <si>
    <t>########</t>
  </si>
  <si>
    <t>Rinse</t>
  </si>
  <si>
    <t>002SMPL.d</t>
  </si>
  <si>
    <t>003SMPL.d</t>
  </si>
  <si>
    <t>004SMPL.d</t>
  </si>
  <si>
    <t>005SMPL.d</t>
  </si>
  <si>
    <t>006SMPL.d</t>
  </si>
  <si>
    <t>007SMPL.d</t>
  </si>
  <si>
    <t>008SMPL.d</t>
  </si>
  <si>
    <t xml:space="preserve">52 Cr  [ He ] </t>
  </si>
  <si>
    <t>Name</t>
  </si>
  <si>
    <t>Std</t>
  </si>
  <si>
    <t>Cr (ppm)</t>
  </si>
  <si>
    <t xml:space="preserve">b = </t>
  </si>
  <si>
    <t>Vx =</t>
  </si>
  <si>
    <t>Cs =</t>
  </si>
  <si>
    <t>m =</t>
  </si>
  <si>
    <t>Cx =</t>
  </si>
  <si>
    <t>Dilution #</t>
  </si>
  <si>
    <t>OG Conc (ppm)</t>
  </si>
  <si>
    <t>52 Cr %</t>
  </si>
  <si>
    <t>Cr1_100ppb</t>
  </si>
  <si>
    <t>Replicate 1</t>
  </si>
  <si>
    <t>name</t>
  </si>
  <si>
    <t>mass of sample (g)</t>
  </si>
  <si>
    <t>mas of std (g)</t>
  </si>
  <si>
    <t>spiked Sm conc (ppm_sam)</t>
  </si>
  <si>
    <t>Counts</t>
  </si>
  <si>
    <t>yhat</t>
  </si>
  <si>
    <t>ε</t>
  </si>
  <si>
    <t>zero</t>
  </si>
  <si>
    <t>Sm1 - 0</t>
  </si>
  <si>
    <t>Sm1 - 0.5</t>
  </si>
  <si>
    <t>Sm1 - 1</t>
  </si>
  <si>
    <t>Sm1 - 1.5</t>
  </si>
  <si>
    <t>Sm1 - 2</t>
  </si>
  <si>
    <t xml:space="preserve">b/counts = </t>
  </si>
  <si>
    <t>m/(counts/ppm) =</t>
  </si>
  <si>
    <t xml:space="preserve">Cx/ppm = </t>
  </si>
  <si>
    <t xml:space="preserve">OG Sm mass frac = </t>
  </si>
  <si>
    <t xml:space="preserve">CrCl2wt.% = </t>
  </si>
  <si>
    <t>x-axis units = g_Sm per 1 million grams of diluted sample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</si>
</sst>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"/>
    <numFmt numFmtId="166" formatCode="0.000%"/>
    <numFmt numFmtId="167" formatCode="0.0000%"/>
  </numFmts>
  <fonts count="16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92D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CE6F1"/>
        <bgColor rgb="FF000000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0" fillId="2" borderId="0" xfId="0" applyFill="1"/>
    <xf numFmtId="0" fontId="0" fillId="0" borderId="3" xfId="0" applyBorder="1"/>
    <xf numFmtId="10" fontId="5" fillId="0" borderId="0" xfId="0" applyNumberFormat="1" applyFont="1" applyAlignment="1">
      <alignment wrapText="1"/>
    </xf>
    <xf numFmtId="9" fontId="5" fillId="0" borderId="0" xfId="0" applyNumberFormat="1" applyFont="1" applyAlignment="1">
      <alignment wrapText="1"/>
    </xf>
    <xf numFmtId="0" fontId="0" fillId="0" borderId="1" xfId="0" applyBorder="1"/>
    <xf numFmtId="0" fontId="0" fillId="0" borderId="4" xfId="0" applyBorder="1"/>
    <xf numFmtId="0" fontId="2" fillId="0" borderId="0" xfId="0" applyFont="1"/>
    <xf numFmtId="0" fontId="6" fillId="0" borderId="5" xfId="0" applyFont="1" applyBorder="1" applyAlignment="1">
      <alignment horizontal="right"/>
    </xf>
    <xf numFmtId="0" fontId="5" fillId="0" borderId="0" xfId="0" applyFont="1"/>
    <xf numFmtId="0" fontId="0" fillId="0" borderId="6" xfId="0" applyBorder="1"/>
    <xf numFmtId="0" fontId="7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  <xf numFmtId="0" fontId="0" fillId="4" borderId="1" xfId="0" applyFill="1" applyBorder="1"/>
    <xf numFmtId="0" fontId="0" fillId="0" borderId="10" xfId="0" applyBorder="1"/>
    <xf numFmtId="0" fontId="8" fillId="0" borderId="11" xfId="0" applyFont="1" applyBorder="1"/>
    <xf numFmtId="0" fontId="0" fillId="5" borderId="12" xfId="0" applyFill="1" applyBorder="1"/>
    <xf numFmtId="1" fontId="0" fillId="0" borderId="8" xfId="0" applyNumberFormat="1" applyBorder="1"/>
    <xf numFmtId="164" fontId="0" fillId="0" borderId="8" xfId="0" applyNumberFormat="1" applyBorder="1"/>
    <xf numFmtId="165" fontId="0" fillId="0" borderId="9" xfId="0" applyNumberFormat="1" applyBorder="1"/>
    <xf numFmtId="0" fontId="0" fillId="0" borderId="13" xfId="0" applyBorder="1"/>
    <xf numFmtId="0" fontId="8" fillId="0" borderId="14" xfId="0" applyFont="1" applyBorder="1"/>
    <xf numFmtId="0" fontId="0" fillId="5" borderId="15" xfId="0" applyFill="1" applyBorder="1"/>
    <xf numFmtId="0" fontId="0" fillId="0" borderId="16" xfId="0" applyBorder="1"/>
    <xf numFmtId="1" fontId="0" fillId="0" borderId="0" xfId="0" applyNumberFormat="1"/>
    <xf numFmtId="165" fontId="0" fillId="0" borderId="17" xfId="0" applyNumberFormat="1" applyBorder="1"/>
    <xf numFmtId="0" fontId="8" fillId="0" borderId="0" xfId="0" applyFont="1"/>
    <xf numFmtId="0" fontId="0" fillId="5" borderId="0" xfId="0" applyFill="1"/>
    <xf numFmtId="0" fontId="0" fillId="0" borderId="18" xfId="0" applyBorder="1"/>
    <xf numFmtId="1" fontId="0" fillId="0" borderId="19" xfId="0" applyNumberFormat="1" applyBorder="1"/>
    <xf numFmtId="165" fontId="0" fillId="0" borderId="20" xfId="0" applyNumberFormat="1" applyBorder="1"/>
    <xf numFmtId="0" fontId="0" fillId="0" borderId="5" xfId="0" applyBorder="1"/>
    <xf numFmtId="0" fontId="9" fillId="0" borderId="0" xfId="0" applyFont="1"/>
    <xf numFmtId="0" fontId="9" fillId="0" borderId="5" xfId="0" applyFont="1" applyBorder="1"/>
    <xf numFmtId="0" fontId="10" fillId="0" borderId="5" xfId="0" applyFont="1" applyBorder="1" applyAlignment="1">
      <alignment horizontal="right"/>
    </xf>
    <xf numFmtId="0" fontId="9" fillId="0" borderId="1" xfId="0" applyFont="1" applyBorder="1"/>
    <xf numFmtId="165" fontId="0" fillId="0" borderId="0" xfId="0" applyNumberFormat="1"/>
    <xf numFmtId="165" fontId="3" fillId="0" borderId="0" xfId="0" applyNumberFormat="1" applyFont="1"/>
    <xf numFmtId="0" fontId="11" fillId="0" borderId="0" xfId="0" applyFont="1"/>
    <xf numFmtId="0" fontId="3" fillId="4" borderId="0" xfId="0" applyFont="1" applyFill="1" applyAlignment="1">
      <alignment horizontal="center"/>
    </xf>
    <xf numFmtId="0" fontId="12" fillId="0" borderId="0" xfId="0" applyFont="1"/>
    <xf numFmtId="0" fontId="11" fillId="6" borderId="21" xfId="0" applyFont="1" applyFill="1" applyBorder="1"/>
    <xf numFmtId="0" fontId="13" fillId="7" borderId="0" xfId="0" applyFont="1" applyFill="1"/>
    <xf numFmtId="0" fontId="14" fillId="7" borderId="0" xfId="0" applyFont="1" applyFill="1"/>
    <xf numFmtId="0" fontId="12" fillId="6" borderId="0" xfId="0" applyFont="1" applyFill="1"/>
    <xf numFmtId="0" fontId="11" fillId="8" borderId="0" xfId="0" applyFont="1" applyFill="1"/>
    <xf numFmtId="0" fontId="12" fillId="8" borderId="0" xfId="0" applyFont="1" applyFill="1"/>
    <xf numFmtId="0" fontId="12" fillId="0" borderId="22" xfId="0" applyFont="1" applyBorder="1"/>
    <xf numFmtId="0" fontId="11" fillId="8" borderId="23" xfId="0" applyFont="1" applyFill="1" applyBorder="1"/>
    <xf numFmtId="0" fontId="12" fillId="8" borderId="24" xfId="0" applyFont="1" applyFill="1" applyBorder="1"/>
    <xf numFmtId="0" fontId="11" fillId="8" borderId="24" xfId="0" applyFont="1" applyFill="1" applyBorder="1"/>
    <xf numFmtId="0" fontId="12" fillId="9" borderId="0" xfId="0" applyFont="1" applyFill="1"/>
    <xf numFmtId="1" fontId="12" fillId="0" borderId="0" xfId="0" applyNumberFormat="1" applyFont="1"/>
    <xf numFmtId="0" fontId="0" fillId="0" borderId="2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2" fillId="8" borderId="30" xfId="0" applyFont="1" applyFill="1" applyBorder="1"/>
    <xf numFmtId="0" fontId="12" fillId="8" borderId="25" xfId="0" applyFont="1" applyFill="1" applyBorder="1"/>
    <xf numFmtId="0" fontId="12" fillId="8" borderId="31" xfId="0" applyFont="1" applyFill="1" applyBorder="1"/>
    <xf numFmtId="0" fontId="12" fillId="0" borderId="30" xfId="0" applyFont="1" applyBorder="1"/>
    <xf numFmtId="0" fontId="12" fillId="0" borderId="25" xfId="0" applyFont="1" applyBorder="1"/>
    <xf numFmtId="0" fontId="12" fillId="0" borderId="31" xfId="0" applyFont="1" applyBorder="1"/>
    <xf numFmtId="0" fontId="12" fillId="8" borderId="32" xfId="0" applyFont="1" applyFill="1" applyBorder="1"/>
    <xf numFmtId="0" fontId="12" fillId="8" borderId="26" xfId="0" applyFont="1" applyFill="1" applyBorder="1"/>
    <xf numFmtId="0" fontId="12" fillId="8" borderId="33" xfId="0" applyFont="1" applyFill="1" applyBorder="1"/>
    <xf numFmtId="0" fontId="12" fillId="0" borderId="29" xfId="0" applyFont="1" applyBorder="1"/>
    <xf numFmtId="166" fontId="0" fillId="0" borderId="0" xfId="0" applyNumberFormat="1"/>
    <xf numFmtId="0" fontId="0" fillId="0" borderId="34" xfId="0" applyBorder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167" fontId="0" fillId="0" borderId="0" xfId="1" applyNumberFormat="1" applyFont="1" applyBorder="1"/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3341409246921"/>
          <c:y val="2.976190476190476E-2"/>
          <c:w val="0.76663167104111984"/>
          <c:h val="0.77128268688636148"/>
        </c:manualLayout>
      </c:layout>
      <c:scatterChart>
        <c:scatterStyle val="lineMarker"/>
        <c:varyColors val="0"/>
        <c:ser>
          <c:idx val="0"/>
          <c:order val="0"/>
          <c:tx>
            <c:v>Replicate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12700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6.9820930761942665E-2</c:v>
                </c:pt>
                <c:pt idx="2">
                  <c:v>0.14099502680697154</c:v>
                </c:pt>
                <c:pt idx="3">
                  <c:v>0.197910541931583</c:v>
                </c:pt>
                <c:pt idx="4">
                  <c:v>0.26059960906431023</c:v>
                </c:pt>
              </c:numCache>
            </c:numRef>
          </c:xVal>
          <c:yVal>
            <c:numRef>
              <c:f>Calculations!$E$16:$E$20</c:f>
              <c:numCache>
                <c:formatCode>General</c:formatCode>
                <c:ptCount val="5"/>
                <c:pt idx="0">
                  <c:v>12071.99</c:v>
                </c:pt>
                <c:pt idx="1">
                  <c:v>45149.11</c:v>
                </c:pt>
                <c:pt idx="2">
                  <c:v>83106.509999999995</c:v>
                </c:pt>
                <c:pt idx="3">
                  <c:v>112707.5</c:v>
                </c:pt>
                <c:pt idx="4">
                  <c:v>137761.60000000001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3-46AA-BE68-8A52032F99E6}"/>
            </c:ext>
          </c:extLst>
        </c:ser>
        <c:ser>
          <c:idx val="3"/>
          <c:order val="1"/>
          <c:tx>
            <c:v>147 fit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</c:v>
                </c:pt>
                <c:pt idx="1">
                  <c:v>0</c:v>
                </c:pt>
                <c:pt idx="2">
                  <c:v>6.9820930761942665E-2</c:v>
                </c:pt>
                <c:pt idx="3">
                  <c:v>0.14099502680697154</c:v>
                </c:pt>
                <c:pt idx="4">
                  <c:v>0.197910541931583</c:v>
                </c:pt>
                <c:pt idx="5">
                  <c:v>0.26059960906431023</c:v>
                </c:pt>
              </c:numCache>
            </c:numRef>
          </c:xVal>
          <c:yVal>
            <c:numRef>
              <c:f>Calculations!$F$15:$F$20</c:f>
              <c:numCache>
                <c:formatCode>General</c:formatCode>
                <c:ptCount val="6"/>
                <c:pt idx="0">
                  <c:v>-4903492.7029007422</c:v>
                </c:pt>
                <c:pt idx="1">
                  <c:v>12353.261717948026</c:v>
                </c:pt>
                <c:pt idx="2">
                  <c:v>46676.155791149708</c:v>
                </c:pt>
                <c:pt idx="3">
                  <c:v>81664.245073983548</c:v>
                </c:pt>
                <c:pt idx="4">
                  <c:v>109643.03560893508</c:v>
                </c:pt>
                <c:pt idx="5">
                  <c:v>140460.0153779478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A3-46AA-BE68-8A52032F9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718504"/>
        <c:axId val="860718864"/>
      </c:scatterChart>
      <c:valAx>
        <c:axId val="860718504"/>
        <c:scaling>
          <c:orientation val="minMax"/>
          <c:min val="-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Spiked Cr Concentration (ppm)</a:t>
                </a:r>
                <a:endParaRPr lang="en-US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.00" sourceLinked="0"/>
        <c:majorTickMark val="out"/>
        <c:minorTickMark val="out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864"/>
        <c:crosses val="autoZero"/>
        <c:crossBetween val="midCat"/>
        <c:majorUnit val="5.000000000000001E-2"/>
      </c:valAx>
      <c:valAx>
        <c:axId val="8607188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Intensity × 10</a:t>
                </a:r>
                <a:r>
                  <a:rPr lang="en-US" baseline="30000"/>
                  <a:t>-3</a:t>
                </a:r>
                <a:r>
                  <a:rPr lang="en-US" baseline="0"/>
                  <a:t> (CPS)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," sourceLinked="0"/>
        <c:majorTickMark val="out"/>
        <c:minorTickMark val="out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504"/>
        <c:crossesAt val="-1000"/>
        <c:crossBetween val="midCat"/>
      </c:valAx>
      <c:spPr>
        <a:solidFill>
          <a:srgbClr val="FFFFFF"/>
        </a:solidFill>
        <a:ln w="12700">
          <a:noFill/>
          <a:prstDash val="solid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ysClr val="windowText" lastClr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22</xdr:row>
      <xdr:rowOff>60960</xdr:rowOff>
    </xdr:from>
    <xdr:to>
      <xdr:col>3</xdr:col>
      <xdr:colOff>1447800</xdr:colOff>
      <xdr:row>33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10C1EA-3B5F-46D7-9348-20D0A4FCF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E53F1-A856-44A7-8C6E-6ABF449CDDF8}" name="Table1" displayName="Table1" ref="A1:E6" totalsRowShown="0">
  <autoFilter ref="A1:E6" xr:uid="{40CE53F1-A856-44A7-8C6E-6ABF449CDDF8}"/>
  <sortState xmlns:xlrd2="http://schemas.microsoft.com/office/spreadsheetml/2017/richdata2" ref="A2:E6">
    <sortCondition ref="E1:E6"/>
  </sortState>
  <tableColumns count="5">
    <tableColumn id="1" xr3:uid="{6B197B71-1E81-47F3-A4C4-80165013CA78}" name="Column1"/>
    <tableColumn id="2" xr3:uid="{9C209523-53C1-4FD7-9C71-05C0127710A0}" name="Column2" dataDxfId="2"/>
    <tableColumn id="3" xr3:uid="{C1306BDA-5D3C-4925-936D-814D91446129}" name="Column3"/>
    <tableColumn id="4" xr3:uid="{1142699D-E65E-441F-BABC-7E809552A21D}" name="Column4"/>
    <tableColumn id="5" xr3:uid="{50E72BA8-C4B5-4B5E-8441-FCF9C341FE37}" name="Column5">
      <calculatedColumnFormula>RAND()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CB0347-307F-4A8F-A528-BC58A12784F3}" name="Table4" displayName="Table4" ref="A2:D7" totalsRowShown="0" headerRowDxfId="1" dataDxfId="0">
  <autoFilter ref="A2:D7" xr:uid="{4FCB0347-307F-4A8F-A528-BC58A12784F3}"/>
  <tableColumns count="4">
    <tableColumn id="1" xr3:uid="{C7061241-09DB-4438-A3C9-6134F30C6653}" name="Name"/>
    <tableColumn id="2" xr3:uid="{E41DED8F-9E8A-4FD0-A9A7-7B0619244E8B}" name="Sample"/>
    <tableColumn id="3" xr3:uid="{F1B3D2E0-8265-4AAE-8EF4-A1ADC3A166BC}" name="Std"/>
    <tableColumn id="4" xr3:uid="{D3C55BFC-9389-4AE4-96F8-719921463415}" name="CP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"/>
  <sheetViews>
    <sheetView topLeftCell="H1" workbookViewId="0">
      <selection activeCell="J26" sqref="J26"/>
    </sheetView>
  </sheetViews>
  <sheetFormatPr defaultRowHeight="15" x14ac:dyDescent="0.25"/>
  <cols>
    <col min="6" max="6" width="10.7109375" bestFit="1" customWidth="1"/>
    <col min="7" max="7" width="9.42578125" customWidth="1"/>
    <col min="9" max="9" width="9.5703125" customWidth="1"/>
    <col min="10" max="10" width="10.42578125" bestFit="1" customWidth="1"/>
    <col min="17" max="17" width="13.85546875" customWidth="1"/>
  </cols>
  <sheetData>
    <row r="1" spans="1:30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Q1" s="78" t="s">
        <v>12</v>
      </c>
      <c r="R1" s="78"/>
      <c r="S1" s="78"/>
      <c r="T1" s="78"/>
      <c r="U1" s="78"/>
      <c r="X1" s="78" t="s">
        <v>13</v>
      </c>
      <c r="Y1" s="78"/>
      <c r="Z1" s="78"/>
      <c r="AA1" s="78"/>
      <c r="AB1" s="78"/>
    </row>
    <row r="2" spans="1:30" ht="17.25" x14ac:dyDescent="0.3">
      <c r="A2" s="2" t="s">
        <v>14</v>
      </c>
      <c r="B2" s="3" t="s">
        <v>15</v>
      </c>
      <c r="C2" s="4"/>
      <c r="D2" s="5" t="s">
        <v>16</v>
      </c>
      <c r="E2" s="4">
        <v>8.0885999999999996</v>
      </c>
      <c r="F2" s="46">
        <v>35.020699999999998</v>
      </c>
      <c r="G2" s="46">
        <v>35.020699999999998</v>
      </c>
      <c r="H2" s="6">
        <v>0</v>
      </c>
      <c r="I2" s="46">
        <f>G2-E2</f>
        <v>26.932099999999998</v>
      </c>
      <c r="J2" s="6">
        <v>1</v>
      </c>
      <c r="K2" s="6">
        <v>0</v>
      </c>
      <c r="L2" s="6">
        <v>0</v>
      </c>
      <c r="Q2" s="79" t="s">
        <v>17</v>
      </c>
      <c r="R2" s="79"/>
      <c r="S2" s="79"/>
      <c r="U2" t="s">
        <v>18</v>
      </c>
      <c r="X2" s="79" t="s">
        <v>19</v>
      </c>
      <c r="Y2" s="79"/>
      <c r="Z2" s="79"/>
      <c r="AB2" t="s">
        <v>18</v>
      </c>
    </row>
    <row r="3" spans="1:30" ht="17.25" x14ac:dyDescent="0.3">
      <c r="A3" s="48" t="s">
        <v>20</v>
      </c>
      <c r="B3" s="3" t="s">
        <v>21</v>
      </c>
      <c r="C3" s="5"/>
      <c r="D3" s="5" t="s">
        <v>16</v>
      </c>
      <c r="E3" s="6">
        <v>8.1372999999999998</v>
      </c>
      <c r="F3" s="46">
        <f t="shared" ref="F3" si="0">G3-H3</f>
        <v>35.073299999999996</v>
      </c>
      <c r="G3" s="46">
        <v>35.129199999999997</v>
      </c>
      <c r="H3" s="46">
        <v>5.5900000000001171E-2</v>
      </c>
      <c r="I3" s="6">
        <v>19.9772</v>
      </c>
      <c r="J3" s="6">
        <v>1</v>
      </c>
      <c r="K3" s="6">
        <f>(H3/I3*1000000)*J3</f>
        <v>2798.1899365277</v>
      </c>
      <c r="L3" s="6">
        <f>K3*0.02</f>
        <v>55.963798730554004</v>
      </c>
      <c r="Q3">
        <v>1000</v>
      </c>
      <c r="R3" t="s">
        <v>22</v>
      </c>
      <c r="U3">
        <v>0.01</v>
      </c>
      <c r="V3" t="s">
        <v>22</v>
      </c>
      <c r="X3">
        <v>1002</v>
      </c>
      <c r="Y3" t="s">
        <v>22</v>
      </c>
      <c r="AB3">
        <v>0.1</v>
      </c>
      <c r="AC3" t="s">
        <v>22</v>
      </c>
    </row>
    <row r="4" spans="1:30" ht="17.25" x14ac:dyDescent="0.3">
      <c r="A4" s="2"/>
      <c r="B4" s="3"/>
      <c r="C4" s="5"/>
      <c r="D4" s="5"/>
      <c r="E4" s="5"/>
      <c r="F4" s="6"/>
      <c r="G4" s="6"/>
      <c r="H4" s="6"/>
      <c r="I4" s="6"/>
      <c r="J4" s="6"/>
      <c r="K4" s="6"/>
      <c r="L4" s="6"/>
      <c r="M4" s="9"/>
      <c r="N4" s="10"/>
    </row>
    <row r="5" spans="1:30" ht="21" x14ac:dyDescent="0.35">
      <c r="A5" s="13" t="s">
        <v>23</v>
      </c>
      <c r="E5" s="14" t="s">
        <v>24</v>
      </c>
      <c r="M5" s="15"/>
      <c r="N5" s="15"/>
      <c r="R5" s="7">
        <v>1000</v>
      </c>
      <c r="S5" s="7"/>
    </row>
    <row r="6" spans="1:30" x14ac:dyDescent="0.25">
      <c r="A6" s="17" t="s">
        <v>7</v>
      </c>
      <c r="B6" s="23">
        <v>1</v>
      </c>
      <c r="C6" s="23">
        <v>1</v>
      </c>
      <c r="D6" s="23">
        <v>1</v>
      </c>
      <c r="E6" s="24">
        <v>1</v>
      </c>
      <c r="F6" s="25">
        <v>1</v>
      </c>
      <c r="H6" s="18" t="s">
        <v>25</v>
      </c>
      <c r="I6" s="19" t="s">
        <v>26</v>
      </c>
      <c r="J6" s="19" t="s">
        <v>27</v>
      </c>
      <c r="K6" s="20" t="s">
        <v>28</v>
      </c>
      <c r="M6" s="15"/>
      <c r="N6" s="15"/>
      <c r="Q6" t="s">
        <v>7</v>
      </c>
      <c r="R6">
        <v>0.1</v>
      </c>
      <c r="S6">
        <v>0.1</v>
      </c>
      <c r="X6" t="s">
        <v>7</v>
      </c>
      <c r="Y6">
        <v>0.1229</v>
      </c>
      <c r="Z6" s="8">
        <v>0.13950000000000001</v>
      </c>
      <c r="AA6">
        <v>1</v>
      </c>
    </row>
    <row r="7" spans="1:30" x14ac:dyDescent="0.25">
      <c r="A7" s="17" t="s">
        <v>29</v>
      </c>
      <c r="B7" s="29">
        <v>10</v>
      </c>
      <c r="C7" s="29">
        <v>1</v>
      </c>
      <c r="D7" s="29">
        <v>1</v>
      </c>
      <c r="E7" s="30">
        <v>10</v>
      </c>
      <c r="F7" s="31">
        <v>1</v>
      </c>
      <c r="H7" s="18">
        <v>10</v>
      </c>
      <c r="I7" s="26">
        <f>PRODUCT(B8:D8)</f>
        <v>10</v>
      </c>
      <c r="J7" s="27">
        <f>K7*1/100</f>
        <v>0</v>
      </c>
      <c r="K7" s="28">
        <f>K2/I7</f>
        <v>0</v>
      </c>
      <c r="L7" s="45"/>
      <c r="Q7" t="s">
        <v>29</v>
      </c>
      <c r="R7" s="11">
        <v>10</v>
      </c>
      <c r="S7" s="11">
        <v>10</v>
      </c>
      <c r="U7" t="s">
        <v>30</v>
      </c>
      <c r="X7" t="s">
        <v>29</v>
      </c>
      <c r="Y7" s="11">
        <v>10.0352</v>
      </c>
      <c r="Z7" s="12">
        <v>12.0585</v>
      </c>
      <c r="AA7" s="11">
        <v>1</v>
      </c>
      <c r="AC7" t="s">
        <v>31</v>
      </c>
      <c r="AD7" t="s">
        <v>26</v>
      </c>
    </row>
    <row r="8" spans="1:30" x14ac:dyDescent="0.25">
      <c r="A8" s="17" t="s">
        <v>32</v>
      </c>
      <c r="B8">
        <v>10</v>
      </c>
      <c r="C8">
        <v>1</v>
      </c>
      <c r="D8">
        <v>1</v>
      </c>
      <c r="E8" s="35">
        <v>10</v>
      </c>
      <c r="F8" s="36">
        <v>1</v>
      </c>
      <c r="H8" s="32"/>
      <c r="I8" s="33"/>
      <c r="J8" s="33"/>
      <c r="K8" s="34"/>
      <c r="L8" s="45"/>
      <c r="Q8" t="s">
        <v>32</v>
      </c>
      <c r="R8">
        <f>R7/R6</f>
        <v>100</v>
      </c>
      <c r="S8">
        <f>S7/S6</f>
        <v>100</v>
      </c>
      <c r="U8">
        <f>PRODUCT(R8:S8)</f>
        <v>10000</v>
      </c>
      <c r="X8" t="s">
        <v>32</v>
      </c>
      <c r="Y8">
        <f>Y7/Y6</f>
        <v>81.653376729048006</v>
      </c>
      <c r="Z8" s="16">
        <f t="shared" ref="Z8:AA8" si="1">Z7/Z6</f>
        <v>86.44086021505376</v>
      </c>
      <c r="AA8">
        <f t="shared" si="1"/>
        <v>1</v>
      </c>
      <c r="AC8">
        <f>PRODUCT(Y8)</f>
        <v>81.653376729048006</v>
      </c>
      <c r="AD8">
        <f>PRODUCT(Z8:AA8)</f>
        <v>86.44086021505376</v>
      </c>
    </row>
    <row r="9" spans="1:30" x14ac:dyDescent="0.25">
      <c r="H9" s="37"/>
      <c r="I9" s="38"/>
      <c r="J9" s="38"/>
      <c r="K9" s="39"/>
      <c r="L9" s="45"/>
      <c r="Q9" t="s">
        <v>33</v>
      </c>
      <c r="R9" s="21">
        <f>Q3/U8</f>
        <v>0.1</v>
      </c>
      <c r="S9" s="21" t="s">
        <v>22</v>
      </c>
      <c r="X9" s="11" t="s">
        <v>34</v>
      </c>
      <c r="Y9" s="22">
        <f>X3/AC8</f>
        <v>12.271384725765307</v>
      </c>
      <c r="Z9" s="22" t="s">
        <v>22</v>
      </c>
    </row>
    <row r="10" spans="1:30" ht="21" x14ac:dyDescent="0.35">
      <c r="A10" s="13" t="s">
        <v>21</v>
      </c>
      <c r="C10" s="43"/>
      <c r="D10" s="43"/>
      <c r="E10" s="14" t="s">
        <v>24</v>
      </c>
      <c r="X10" t="s">
        <v>35</v>
      </c>
      <c r="Y10" s="21">
        <f>Y9/AD8</f>
        <v>0.14196277888993328</v>
      </c>
      <c r="Z10" s="21" t="s">
        <v>22</v>
      </c>
    </row>
    <row r="11" spans="1:30" x14ac:dyDescent="0.25">
      <c r="A11" s="17" t="s">
        <v>7</v>
      </c>
      <c r="B11" s="23">
        <v>0.22009999999999999</v>
      </c>
      <c r="C11" s="23">
        <v>1.0978000000000001</v>
      </c>
      <c r="D11" s="23">
        <v>1</v>
      </c>
      <c r="E11" s="24">
        <v>1</v>
      </c>
      <c r="F11" s="25">
        <v>1</v>
      </c>
      <c r="H11" s="18" t="s">
        <v>25</v>
      </c>
      <c r="I11" s="19" t="s">
        <v>26</v>
      </c>
      <c r="J11" s="19" t="s">
        <v>27</v>
      </c>
      <c r="K11" s="20" t="s">
        <v>28</v>
      </c>
    </row>
    <row r="12" spans="1:30" x14ac:dyDescent="0.25">
      <c r="A12" s="17" t="s">
        <v>29</v>
      </c>
      <c r="B12" s="29">
        <v>10.2621</v>
      </c>
      <c r="C12" s="29">
        <v>10.8325</v>
      </c>
      <c r="D12" s="29">
        <v>1</v>
      </c>
      <c r="E12" s="30">
        <v>10</v>
      </c>
      <c r="F12" s="31">
        <v>1</v>
      </c>
      <c r="H12" s="18">
        <v>10</v>
      </c>
      <c r="I12" s="26">
        <f>PRODUCT(B13:D13)</f>
        <v>460.06762295811308</v>
      </c>
      <c r="J12" s="27">
        <f>K12*2/100</f>
        <v>0.12164254978588057</v>
      </c>
      <c r="K12" s="28">
        <f>K3/I12</f>
        <v>6.0821274892940282</v>
      </c>
      <c r="Q12" s="40" t="s">
        <v>36</v>
      </c>
      <c r="R12" s="40" t="s">
        <v>37</v>
      </c>
      <c r="S12" s="40" t="s">
        <v>38</v>
      </c>
      <c r="T12" s="40" t="s">
        <v>39</v>
      </c>
      <c r="U12" s="40" t="s">
        <v>40</v>
      </c>
    </row>
    <row r="13" spans="1:30" ht="18.75" x14ac:dyDescent="0.3">
      <c r="A13" s="17" t="s">
        <v>32</v>
      </c>
      <c r="B13">
        <f>B12/B11</f>
        <v>46.624716038164472</v>
      </c>
      <c r="C13">
        <f>C12/C11</f>
        <v>9.8674621971215135</v>
      </c>
      <c r="D13">
        <f>D12/D11</f>
        <v>1</v>
      </c>
      <c r="E13" s="35">
        <f>E12/E11</f>
        <v>10</v>
      </c>
      <c r="F13" s="36">
        <f>F12/F11</f>
        <v>1</v>
      </c>
      <c r="H13" s="32"/>
      <c r="I13" s="33"/>
      <c r="J13" s="33"/>
      <c r="K13" s="34"/>
      <c r="L13" s="45"/>
      <c r="Q13" s="41" t="s">
        <v>41</v>
      </c>
      <c r="R13">
        <v>1.0147999999999999</v>
      </c>
      <c r="S13">
        <v>0</v>
      </c>
      <c r="T13">
        <v>9.0305</v>
      </c>
      <c r="U13">
        <f t="shared" ref="U13:U22" si="2">SUM(R13:T13)</f>
        <v>10.045299999999999</v>
      </c>
    </row>
    <row r="14" spans="1:30" ht="18.75" x14ac:dyDescent="0.3">
      <c r="H14" s="37"/>
      <c r="I14" s="38"/>
      <c r="J14" s="38"/>
      <c r="K14" s="39"/>
      <c r="L14" s="45"/>
      <c r="Q14" s="41" t="s">
        <v>42</v>
      </c>
      <c r="R14">
        <v>1.0127999999999999</v>
      </c>
      <c r="S14">
        <v>0.54090000000000005</v>
      </c>
      <c r="T14">
        <v>8.5208999999999993</v>
      </c>
      <c r="U14">
        <f t="shared" si="2"/>
        <v>10.0746</v>
      </c>
    </row>
    <row r="15" spans="1:30" ht="18.75" x14ac:dyDescent="0.3">
      <c r="L15" s="45"/>
      <c r="Q15" s="41" t="s">
        <v>43</v>
      </c>
      <c r="R15">
        <v>1.0111000000000001</v>
      </c>
      <c r="S15">
        <v>1.0874999999999999</v>
      </c>
      <c r="T15">
        <v>8.0350999999999999</v>
      </c>
      <c r="U15">
        <f t="shared" si="2"/>
        <v>10.133700000000001</v>
      </c>
    </row>
    <row r="16" spans="1:30" ht="18.75" x14ac:dyDescent="0.3">
      <c r="Q16" s="41" t="s">
        <v>44</v>
      </c>
      <c r="R16">
        <v>1.0105999999999999</v>
      </c>
      <c r="S16">
        <v>1.5255000000000001</v>
      </c>
      <c r="T16">
        <v>7.5103</v>
      </c>
      <c r="U16">
        <f t="shared" si="2"/>
        <v>10.0464</v>
      </c>
    </row>
    <row r="17" spans="12:21" ht="18.75" x14ac:dyDescent="0.3">
      <c r="Q17" s="42" t="s">
        <v>45</v>
      </c>
      <c r="R17" s="11">
        <v>1.0011000000000001</v>
      </c>
      <c r="S17" s="11">
        <v>2.0381</v>
      </c>
      <c r="T17" s="11">
        <v>7.0076999999999998</v>
      </c>
      <c r="U17" s="11">
        <f t="shared" si="2"/>
        <v>10.046900000000001</v>
      </c>
    </row>
    <row r="18" spans="12:21" ht="18.75" x14ac:dyDescent="0.3">
      <c r="Q18" s="41" t="s">
        <v>46</v>
      </c>
      <c r="R18">
        <v>1.1025</v>
      </c>
      <c r="S18">
        <v>0</v>
      </c>
      <c r="T18">
        <v>9.1403999999999996</v>
      </c>
      <c r="U18">
        <f t="shared" si="2"/>
        <v>10.242899999999999</v>
      </c>
    </row>
    <row r="19" spans="12:21" ht="18.75" x14ac:dyDescent="0.3">
      <c r="L19" s="45"/>
      <c r="Q19" s="41" t="s">
        <v>47</v>
      </c>
      <c r="R19">
        <v>1.101</v>
      </c>
      <c r="S19">
        <v>0.54149999999999998</v>
      </c>
      <c r="T19">
        <v>8.5085999999999995</v>
      </c>
      <c r="U19">
        <f t="shared" si="2"/>
        <v>10.1511</v>
      </c>
    </row>
    <row r="20" spans="12:21" ht="18.75" x14ac:dyDescent="0.3">
      <c r="L20" s="45"/>
      <c r="Q20" s="41" t="s">
        <v>48</v>
      </c>
      <c r="R20">
        <v>1.1002000000000001</v>
      </c>
      <c r="S20">
        <v>1.0927</v>
      </c>
      <c r="T20">
        <v>8.0395000000000003</v>
      </c>
      <c r="U20">
        <f t="shared" si="2"/>
        <v>10.2324</v>
      </c>
    </row>
    <row r="21" spans="12:21" ht="18.75" x14ac:dyDescent="0.3">
      <c r="L21" s="45"/>
      <c r="Q21" s="41" t="s">
        <v>49</v>
      </c>
      <c r="R21">
        <v>1.1020000000000001</v>
      </c>
      <c r="S21">
        <v>1.5363</v>
      </c>
      <c r="T21">
        <v>7.5003000000000002</v>
      </c>
      <c r="U21">
        <f t="shared" si="2"/>
        <v>10.1386</v>
      </c>
    </row>
    <row r="22" spans="12:21" ht="18.75" x14ac:dyDescent="0.3">
      <c r="Q22" s="44" t="s">
        <v>50</v>
      </c>
      <c r="R22" s="11">
        <v>1.1033999999999999</v>
      </c>
      <c r="S22" s="11">
        <v>2.0255000000000001</v>
      </c>
      <c r="T22" s="11">
        <v>7.0170000000000003</v>
      </c>
      <c r="U22" s="11">
        <f t="shared" si="2"/>
        <v>10.145900000000001</v>
      </c>
    </row>
  </sheetData>
  <mergeCells count="4">
    <mergeCell ref="Q1:U1"/>
    <mergeCell ref="X1:AB1"/>
    <mergeCell ref="Q2:S2"/>
    <mergeCell ref="X2:Z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J5" sqref="J5"/>
    </sheetView>
  </sheetViews>
  <sheetFormatPr defaultRowHeight="15" x14ac:dyDescent="0.25"/>
  <cols>
    <col min="1" max="1" width="11.42578125" bestFit="1" customWidth="1"/>
    <col min="2" max="2" width="12" bestFit="1" customWidth="1"/>
    <col min="3" max="5" width="11.42578125" bestFit="1" customWidth="1"/>
  </cols>
  <sheetData>
    <row r="1" spans="1: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 ht="18.75" x14ac:dyDescent="0.3">
      <c r="A2" t="s">
        <v>7</v>
      </c>
      <c r="B2" s="41" t="s">
        <v>49</v>
      </c>
      <c r="D2">
        <v>3310</v>
      </c>
      <c r="E2">
        <f ca="1">RAND()</f>
        <v>0.54820210934020053</v>
      </c>
    </row>
    <row r="3" spans="1:5" ht="18.75" x14ac:dyDescent="0.3">
      <c r="A3" t="s">
        <v>7</v>
      </c>
      <c r="B3" s="41" t="s">
        <v>48</v>
      </c>
      <c r="D3">
        <v>3309</v>
      </c>
      <c r="E3">
        <f ca="1">RAND()</f>
        <v>0.74332147186641462</v>
      </c>
    </row>
    <row r="4" spans="1:5" ht="18.75" x14ac:dyDescent="0.3">
      <c r="A4" t="s">
        <v>7</v>
      </c>
      <c r="B4" s="41" t="s">
        <v>50</v>
      </c>
      <c r="D4">
        <v>3311</v>
      </c>
      <c r="E4">
        <f ca="1">RAND()</f>
        <v>0.38495472369828232</v>
      </c>
    </row>
    <row r="5" spans="1:5" ht="18.75" x14ac:dyDescent="0.3">
      <c r="A5" t="s">
        <v>7</v>
      </c>
      <c r="B5" s="41" t="s">
        <v>47</v>
      </c>
      <c r="D5">
        <v>3308</v>
      </c>
      <c r="E5">
        <f ca="1">RAND()</f>
        <v>0.96871320017866691</v>
      </c>
    </row>
    <row r="6" spans="1:5" ht="18.75" x14ac:dyDescent="0.3">
      <c r="A6" t="s">
        <v>7</v>
      </c>
      <c r="B6" s="44" t="s">
        <v>46</v>
      </c>
      <c r="D6">
        <v>3307</v>
      </c>
      <c r="E6">
        <f ca="1">RAND()</f>
        <v>0.84065051174049998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EC8A-9FE6-4B14-93D7-E9A493692AD5}">
  <dimension ref="A1:U29"/>
  <sheetViews>
    <sheetView workbookViewId="0">
      <selection activeCell="G2" sqref="G2:H10"/>
    </sheetView>
  </sheetViews>
  <sheetFormatPr defaultRowHeight="15" x14ac:dyDescent="0.25"/>
  <sheetData>
    <row r="1" spans="1:21" x14ac:dyDescent="0.25">
      <c r="A1" s="47" t="s">
        <v>7</v>
      </c>
      <c r="B1" s="47"/>
      <c r="C1" s="47"/>
      <c r="D1" s="47"/>
      <c r="E1" s="47"/>
      <c r="F1" s="47"/>
      <c r="G1" s="47"/>
      <c r="H1" s="47" t="s">
        <v>56</v>
      </c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x14ac:dyDescent="0.25">
      <c r="A2" s="47"/>
      <c r="B2" s="47" t="s">
        <v>57</v>
      </c>
      <c r="C2" s="47" t="s">
        <v>58</v>
      </c>
      <c r="D2" s="47" t="s">
        <v>59</v>
      </c>
      <c r="E2" s="47" t="s">
        <v>60</v>
      </c>
      <c r="F2" s="47" t="s">
        <v>61</v>
      </c>
      <c r="G2" s="47" t="s">
        <v>1</v>
      </c>
      <c r="H2" s="47" t="s">
        <v>62</v>
      </c>
      <c r="I2" s="47" t="s">
        <v>63</v>
      </c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x14ac:dyDescent="0.25">
      <c r="A3" s="47"/>
      <c r="B3" s="47" t="b">
        <v>0</v>
      </c>
      <c r="C3" s="47" t="s">
        <v>64</v>
      </c>
      <c r="D3" s="47" t="s">
        <v>65</v>
      </c>
      <c r="E3" s="47" t="s">
        <v>7</v>
      </c>
      <c r="F3" s="47"/>
      <c r="G3" s="47" t="s">
        <v>66</v>
      </c>
      <c r="H3" s="47">
        <v>627.38</v>
      </c>
      <c r="I3" s="47">
        <v>11.5</v>
      </c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</row>
    <row r="4" spans="1:21" x14ac:dyDescent="0.25">
      <c r="A4" s="47"/>
      <c r="B4" s="47" t="b">
        <v>0</v>
      </c>
      <c r="C4" s="47" t="s">
        <v>67</v>
      </c>
      <c r="D4" s="47" t="s">
        <v>65</v>
      </c>
      <c r="E4" s="47" t="s">
        <v>7</v>
      </c>
      <c r="F4" s="47"/>
      <c r="G4" s="47" t="s">
        <v>49</v>
      </c>
      <c r="H4" s="47">
        <v>112707.5</v>
      </c>
      <c r="I4" s="47">
        <v>4.5999999999999996</v>
      </c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</row>
    <row r="5" spans="1:21" x14ac:dyDescent="0.25">
      <c r="A5" s="47"/>
      <c r="B5" s="47" t="b">
        <v>0</v>
      </c>
      <c r="C5" s="47" t="s">
        <v>68</v>
      </c>
      <c r="D5" s="47" t="s">
        <v>65</v>
      </c>
      <c r="E5" s="47" t="s">
        <v>7</v>
      </c>
      <c r="F5" s="47"/>
      <c r="G5" s="47" t="s">
        <v>48</v>
      </c>
      <c r="H5" s="47">
        <v>83106.509999999995</v>
      </c>
      <c r="I5" s="47">
        <v>4.9000000000000004</v>
      </c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</row>
    <row r="6" spans="1:21" x14ac:dyDescent="0.25">
      <c r="A6" s="47"/>
      <c r="B6" s="47" t="b">
        <v>0</v>
      </c>
      <c r="C6" s="47" t="s">
        <v>69</v>
      </c>
      <c r="D6" s="47" t="s">
        <v>65</v>
      </c>
      <c r="E6" s="47" t="s">
        <v>7</v>
      </c>
      <c r="F6" s="47"/>
      <c r="G6" s="47" t="s">
        <v>50</v>
      </c>
      <c r="H6" s="47">
        <v>137761.60000000001</v>
      </c>
      <c r="I6" s="47">
        <v>2.2000000000000002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</row>
    <row r="7" spans="1:21" x14ac:dyDescent="0.25">
      <c r="A7" s="47"/>
      <c r="B7" s="47" t="b">
        <v>0</v>
      </c>
      <c r="C7" s="47" t="s">
        <v>70</v>
      </c>
      <c r="D7" s="47" t="s">
        <v>65</v>
      </c>
      <c r="E7" s="47" t="s">
        <v>7</v>
      </c>
      <c r="F7" s="47"/>
      <c r="G7" s="47" t="s">
        <v>47</v>
      </c>
      <c r="H7" s="47">
        <v>45149.11</v>
      </c>
      <c r="I7" s="47">
        <v>2.8</v>
      </c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</row>
    <row r="8" spans="1:21" x14ac:dyDescent="0.25">
      <c r="A8" s="47"/>
      <c r="B8" s="47" t="b">
        <v>0</v>
      </c>
      <c r="C8" s="47" t="s">
        <v>71</v>
      </c>
      <c r="D8" s="47" t="s">
        <v>65</v>
      </c>
      <c r="E8" s="47" t="s">
        <v>7</v>
      </c>
      <c r="F8" s="47"/>
      <c r="G8" s="47" t="s">
        <v>46</v>
      </c>
      <c r="H8" s="47">
        <v>12071.99</v>
      </c>
      <c r="I8" s="47">
        <v>4.5999999999999996</v>
      </c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</row>
    <row r="9" spans="1:21" x14ac:dyDescent="0.25">
      <c r="A9" s="47"/>
      <c r="B9" s="47" t="b">
        <v>0</v>
      </c>
      <c r="C9" s="47" t="s">
        <v>72</v>
      </c>
      <c r="D9" s="47" t="s">
        <v>65</v>
      </c>
      <c r="E9" s="47" t="s">
        <v>7</v>
      </c>
      <c r="F9" s="47"/>
      <c r="G9" s="47" t="s">
        <v>66</v>
      </c>
      <c r="H9" s="47">
        <v>694.12</v>
      </c>
      <c r="I9" s="47">
        <v>8.5</v>
      </c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</row>
    <row r="10" spans="1:21" x14ac:dyDescent="0.25">
      <c r="A10" s="47"/>
      <c r="B10" s="47" t="b">
        <v>0</v>
      </c>
      <c r="C10" s="47" t="s">
        <v>73</v>
      </c>
      <c r="D10" s="47" t="s">
        <v>65</v>
      </c>
      <c r="E10" s="47" t="s">
        <v>7</v>
      </c>
      <c r="F10" s="47"/>
      <c r="G10" s="47" t="s">
        <v>66</v>
      </c>
      <c r="H10" s="47">
        <v>650.74</v>
      </c>
      <c r="I10" s="47">
        <v>6.7</v>
      </c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</row>
    <row r="11" spans="1:21" x14ac:dyDescent="0.25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</row>
    <row r="12" spans="1:21" x14ac:dyDescent="0.25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</row>
    <row r="13" spans="1:21" x14ac:dyDescent="0.2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</row>
    <row r="14" spans="1:21" x14ac:dyDescent="0.2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</row>
    <row r="15" spans="1:21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</row>
    <row r="16" spans="1:21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</row>
    <row r="17" spans="1:21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</row>
    <row r="18" spans="1:21" x14ac:dyDescent="0.2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</row>
    <row r="19" spans="1:21" x14ac:dyDescent="0.2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</row>
    <row r="20" spans="1:21" x14ac:dyDescent="0.2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</row>
    <row r="21" spans="1:21" x14ac:dyDescent="0.2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</row>
    <row r="22" spans="1:21" x14ac:dyDescent="0.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</row>
    <row r="23" spans="1:21" x14ac:dyDescent="0.2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</row>
    <row r="24" spans="1:21" x14ac:dyDescent="0.2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</row>
    <row r="25" spans="1:21" x14ac:dyDescent="0.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</row>
    <row r="26" spans="1:21" x14ac:dyDescent="0.2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</row>
    <row r="27" spans="1:21" x14ac:dyDescent="0.25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</row>
    <row r="28" spans="1:21" x14ac:dyDescent="0.2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</row>
    <row r="29" spans="1:21" x14ac:dyDescent="0.2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DAC2-0826-4F70-B123-7E1962D602C7}">
  <dimension ref="A1:N37"/>
  <sheetViews>
    <sheetView tabSelected="1" topLeftCell="A11" workbookViewId="0">
      <selection activeCell="F25" sqref="F25"/>
    </sheetView>
  </sheetViews>
  <sheetFormatPr defaultRowHeight="15" x14ac:dyDescent="0.25"/>
  <cols>
    <col min="1" max="1" width="10.7109375" bestFit="1" customWidth="1"/>
    <col min="2" max="2" width="10.28515625" bestFit="1" customWidth="1"/>
    <col min="3" max="3" width="10" bestFit="1" customWidth="1"/>
    <col min="4" max="4" width="23.140625" bestFit="1" customWidth="1"/>
    <col min="5" max="5" width="16.7109375" bestFit="1" customWidth="1"/>
    <col min="6" max="6" width="11.5703125" bestFit="1" customWidth="1"/>
    <col min="7" max="7" width="13" bestFit="1" customWidth="1"/>
    <col min="8" max="8" width="16" bestFit="1" customWidth="1"/>
    <col min="9" max="9" width="9.28515625" bestFit="1" customWidth="1"/>
    <col min="10" max="10" width="16" bestFit="1" customWidth="1"/>
    <col min="11" max="11" width="9.28515625" bestFit="1" customWidth="1"/>
    <col min="12" max="12" width="12.5703125" bestFit="1" customWidth="1"/>
    <col min="13" max="13" width="9.85546875" bestFit="1" customWidth="1"/>
    <col min="14" max="14" width="13" bestFit="1" customWidth="1"/>
    <col min="15" max="15" width="9.85546875" bestFit="1" customWidth="1"/>
    <col min="16" max="16" width="13" bestFit="1" customWidth="1"/>
  </cols>
  <sheetData>
    <row r="1" spans="1:14" x14ac:dyDescent="0.25">
      <c r="A1" s="47"/>
      <c r="B1" s="49"/>
      <c r="C1" s="49"/>
      <c r="D1" s="47" t="s">
        <v>74</v>
      </c>
      <c r="G1" s="50" t="s">
        <v>74</v>
      </c>
      <c r="H1" s="49"/>
      <c r="I1" s="49"/>
      <c r="J1" s="49"/>
      <c r="K1" s="49"/>
      <c r="L1" s="49"/>
      <c r="M1" s="49"/>
      <c r="N1" s="49"/>
    </row>
    <row r="2" spans="1:14" x14ac:dyDescent="0.25">
      <c r="A2" s="51" t="s">
        <v>75</v>
      </c>
      <c r="B2" s="52" t="s">
        <v>7</v>
      </c>
      <c r="C2" s="52" t="s">
        <v>76</v>
      </c>
      <c r="D2" s="51" t="s">
        <v>62</v>
      </c>
      <c r="F2" s="49"/>
      <c r="G2" s="49"/>
      <c r="H2" s="49"/>
      <c r="I2" s="49"/>
      <c r="J2" s="49"/>
      <c r="K2" s="49"/>
      <c r="L2" s="49"/>
      <c r="M2" s="53" t="s">
        <v>77</v>
      </c>
    </row>
    <row r="3" spans="1:14" x14ac:dyDescent="0.25">
      <c r="A3" s="54" t="s">
        <v>46</v>
      </c>
      <c r="B3" s="55">
        <v>1.1025</v>
      </c>
      <c r="C3" s="55">
        <v>0</v>
      </c>
      <c r="D3" s="54">
        <v>12071.99</v>
      </c>
      <c r="F3" s="49" t="s">
        <v>78</v>
      </c>
      <c r="G3">
        <f>INTERCEPT(D3:D7,$C$3:$C$7)</f>
        <v>12422.35464695908</v>
      </c>
      <c r="H3" s="49"/>
      <c r="I3" t="s">
        <v>79</v>
      </c>
      <c r="J3">
        <f>AVERAGE(B3:B7)</f>
        <v>1.10182</v>
      </c>
      <c r="L3" t="s">
        <v>80</v>
      </c>
      <c r="M3">
        <f>Prep!Y10</f>
        <v>0.14196277888993328</v>
      </c>
    </row>
    <row r="4" spans="1:14" x14ac:dyDescent="0.25">
      <c r="A4" s="47" t="s">
        <v>47</v>
      </c>
      <c r="B4" s="49">
        <v>1.101</v>
      </c>
      <c r="C4" s="49">
        <v>0.54149999999999998</v>
      </c>
      <c r="D4" s="47">
        <v>45149.11</v>
      </c>
      <c r="F4" s="49" t="s">
        <v>81</v>
      </c>
      <c r="G4">
        <f>SLOPE(D3:D7,$C$3:$C$7)</f>
        <v>63257.301148037834</v>
      </c>
      <c r="H4" s="49"/>
      <c r="I4" s="49"/>
      <c r="J4" s="49"/>
      <c r="K4" s="49"/>
      <c r="L4" s="49"/>
      <c r="M4" s="49"/>
    </row>
    <row r="5" spans="1:14" x14ac:dyDescent="0.25">
      <c r="A5" s="54" t="s">
        <v>48</v>
      </c>
      <c r="B5" s="55">
        <v>1.1002000000000001</v>
      </c>
      <c r="C5" s="55">
        <v>1.0927</v>
      </c>
      <c r="D5" s="54">
        <v>83106.509999999995</v>
      </c>
      <c r="F5" s="49"/>
      <c r="G5" s="49"/>
      <c r="H5" s="49"/>
      <c r="I5" s="49"/>
      <c r="J5" s="49"/>
      <c r="K5" s="49"/>
      <c r="L5" s="49"/>
      <c r="M5" s="49"/>
    </row>
    <row r="6" spans="1:14" x14ac:dyDescent="0.25">
      <c r="A6" s="47" t="s">
        <v>49</v>
      </c>
      <c r="B6" s="49">
        <v>1.1020000000000001</v>
      </c>
      <c r="C6" s="49">
        <v>1.5363</v>
      </c>
      <c r="D6" s="47">
        <v>112707.5</v>
      </c>
      <c r="F6" s="56" t="s">
        <v>82</v>
      </c>
      <c r="G6" s="56">
        <f>G3*$M$3/(G4*J3)</f>
        <v>2.5302131324571393E-2</v>
      </c>
      <c r="H6" s="49"/>
      <c r="I6" s="49"/>
      <c r="J6" s="49"/>
      <c r="K6" s="49"/>
      <c r="L6" s="49"/>
      <c r="M6" s="49"/>
    </row>
    <row r="7" spans="1:14" x14ac:dyDescent="0.25">
      <c r="A7" s="57" t="s">
        <v>50</v>
      </c>
      <c r="B7" s="58">
        <v>1.1033999999999999</v>
      </c>
      <c r="C7" s="58">
        <v>2.0255000000000001</v>
      </c>
      <c r="D7" s="59">
        <v>137761.60000000001</v>
      </c>
      <c r="F7" s="49"/>
      <c r="G7" s="49"/>
      <c r="H7" s="49"/>
      <c r="I7" s="49"/>
      <c r="J7" s="49"/>
      <c r="K7" s="47"/>
      <c r="L7" s="49"/>
      <c r="M7" s="47"/>
      <c r="N7" s="49"/>
    </row>
    <row r="8" spans="1:14" x14ac:dyDescent="0.25">
      <c r="H8" s="49"/>
      <c r="I8" s="49"/>
      <c r="J8" s="49"/>
      <c r="K8" s="47"/>
      <c r="L8" s="47"/>
      <c r="M8" s="49"/>
      <c r="N8" s="49"/>
    </row>
    <row r="9" spans="1:14" x14ac:dyDescent="0.25">
      <c r="A9" t="s">
        <v>7</v>
      </c>
      <c r="B9" s="47" t="s">
        <v>74</v>
      </c>
      <c r="C9" s="49" t="s">
        <v>83</v>
      </c>
      <c r="D9" s="49">
        <v>52</v>
      </c>
      <c r="E9" s="49" t="s">
        <v>84</v>
      </c>
      <c r="F9" s="60" t="s">
        <v>85</v>
      </c>
      <c r="K9" s="47"/>
      <c r="L9" s="47"/>
    </row>
    <row r="10" spans="1:14" x14ac:dyDescent="0.25">
      <c r="A10" t="s">
        <v>86</v>
      </c>
      <c r="B10" s="49">
        <f>G6</f>
        <v>2.5302131324571393E-2</v>
      </c>
      <c r="C10" s="61">
        <f>Prep!I12</f>
        <v>460.06762295811308</v>
      </c>
      <c r="D10">
        <f>B10*C10</f>
        <v>11.640691414269574</v>
      </c>
      <c r="E10">
        <f>Prep!K3</f>
        <v>2798.1899365277</v>
      </c>
      <c r="F10">
        <f>(D10/$E10)*100</f>
        <v>0.41600790790901837</v>
      </c>
      <c r="K10" s="47"/>
      <c r="L10" s="47"/>
    </row>
    <row r="11" spans="1:14" x14ac:dyDescent="0.25">
      <c r="L11" s="47"/>
    </row>
    <row r="13" spans="1:14" x14ac:dyDescent="0.25">
      <c r="A13" s="16"/>
      <c r="B13" s="62"/>
      <c r="C13" s="62"/>
      <c r="D13" s="62"/>
      <c r="E13" s="80" t="s">
        <v>87</v>
      </c>
      <c r="F13" s="80"/>
      <c r="G13" s="81"/>
    </row>
    <row r="14" spans="1:14" x14ac:dyDescent="0.25">
      <c r="A14" s="12" t="s">
        <v>88</v>
      </c>
      <c r="B14" s="11" t="s">
        <v>89</v>
      </c>
      <c r="C14" s="11" t="s">
        <v>90</v>
      </c>
      <c r="D14" s="11" t="s">
        <v>91</v>
      </c>
      <c r="E14" s="63" t="s">
        <v>92</v>
      </c>
      <c r="F14" s="63" t="s">
        <v>93</v>
      </c>
      <c r="G14" s="64" t="s">
        <v>94</v>
      </c>
    </row>
    <row r="15" spans="1:14" x14ac:dyDescent="0.25">
      <c r="A15" s="8" t="s">
        <v>95</v>
      </c>
      <c r="D15">
        <v>-10</v>
      </c>
      <c r="F15">
        <f>$F$22*D15+$F$21</f>
        <v>-4903492.7029007422</v>
      </c>
      <c r="G15" s="65"/>
    </row>
    <row r="16" spans="1:14" x14ac:dyDescent="0.25">
      <c r="A16" s="66" t="s">
        <v>96</v>
      </c>
      <c r="B16" s="67">
        <f t="shared" ref="B16:C19" si="0">B3</f>
        <v>1.1025</v>
      </c>
      <c r="C16" s="67">
        <f t="shared" si="0"/>
        <v>0</v>
      </c>
      <c r="D16" s="67">
        <f>C16*$M$3/B16</f>
        <v>0</v>
      </c>
      <c r="E16" s="67">
        <f>D3</f>
        <v>12071.99</v>
      </c>
      <c r="F16" s="67">
        <f t="shared" ref="F16:F20" si="1">$F$22*D16+$F$21</f>
        <v>12353.261717948026</v>
      </c>
      <c r="G16" s="68">
        <f>E16-F16</f>
        <v>-281.27171794802598</v>
      </c>
    </row>
    <row r="17" spans="1:7" x14ac:dyDescent="0.25">
      <c r="A17" s="69" t="s">
        <v>97</v>
      </c>
      <c r="B17" s="70">
        <f t="shared" si="0"/>
        <v>1.101</v>
      </c>
      <c r="C17" s="70">
        <f t="shared" si="0"/>
        <v>0.54149999999999998</v>
      </c>
      <c r="D17" s="70">
        <f>C17*$M$3/B17</f>
        <v>6.9820930761942665E-2</v>
      </c>
      <c r="E17" s="70">
        <f t="shared" ref="E17:E20" si="2">D4</f>
        <v>45149.11</v>
      </c>
      <c r="F17" s="70">
        <f t="shared" si="1"/>
        <v>46676.155791149708</v>
      </c>
      <c r="G17" s="71">
        <f t="shared" ref="G17:G20" si="3">E17-F17</f>
        <v>-1527.0457911497069</v>
      </c>
    </row>
    <row r="18" spans="1:7" x14ac:dyDescent="0.25">
      <c r="A18" s="66" t="s">
        <v>98</v>
      </c>
      <c r="B18" s="67">
        <f t="shared" si="0"/>
        <v>1.1002000000000001</v>
      </c>
      <c r="C18" s="67">
        <f t="shared" si="0"/>
        <v>1.0927</v>
      </c>
      <c r="D18" s="67">
        <f t="shared" ref="D18:D19" si="4">C18*$M$3/B18</f>
        <v>0.14099502680697154</v>
      </c>
      <c r="E18" s="67">
        <f t="shared" si="2"/>
        <v>83106.509999999995</v>
      </c>
      <c r="F18" s="67">
        <f t="shared" si="1"/>
        <v>81664.245073983548</v>
      </c>
      <c r="G18" s="68">
        <f t="shared" si="3"/>
        <v>1442.2649260164471</v>
      </c>
    </row>
    <row r="19" spans="1:7" x14ac:dyDescent="0.25">
      <c r="A19" s="69" t="s">
        <v>99</v>
      </c>
      <c r="B19" s="70">
        <f t="shared" si="0"/>
        <v>1.1020000000000001</v>
      </c>
      <c r="C19" s="70">
        <f t="shared" si="0"/>
        <v>1.5363</v>
      </c>
      <c r="D19" s="70">
        <f t="shared" si="4"/>
        <v>0.197910541931583</v>
      </c>
      <c r="E19" s="70">
        <f t="shared" si="2"/>
        <v>112707.5</v>
      </c>
      <c r="F19" s="70">
        <f t="shared" si="1"/>
        <v>109643.03560893508</v>
      </c>
      <c r="G19" s="71">
        <f t="shared" si="3"/>
        <v>3064.4643910649174</v>
      </c>
    </row>
    <row r="20" spans="1:7" x14ac:dyDescent="0.25">
      <c r="A20" s="72" t="s">
        <v>100</v>
      </c>
      <c r="B20" s="73">
        <f>B7</f>
        <v>1.1033999999999999</v>
      </c>
      <c r="C20" s="73">
        <f t="shared" ref="C20" si="5">C7</f>
        <v>2.0255000000000001</v>
      </c>
      <c r="D20" s="73">
        <f>C20*$M$3/B20</f>
        <v>0.26059960906431023</v>
      </c>
      <c r="E20" s="73">
        <f t="shared" si="2"/>
        <v>137761.60000000001</v>
      </c>
      <c r="F20" s="73">
        <f t="shared" si="1"/>
        <v>140460.0153779478</v>
      </c>
      <c r="G20" s="74">
        <f t="shared" si="3"/>
        <v>-2698.4153779477929</v>
      </c>
    </row>
    <row r="21" spans="1:7" x14ac:dyDescent="0.25">
      <c r="A21" s="8"/>
      <c r="E21" t="s">
        <v>101</v>
      </c>
      <c r="F21">
        <v>12353.261717948026</v>
      </c>
      <c r="G21" s="75">
        <f>SUMSQ(G16:G20)</f>
        <v>21163498.300452702</v>
      </c>
    </row>
    <row r="22" spans="1:7" x14ac:dyDescent="0.25">
      <c r="A22" s="8"/>
      <c r="E22" t="s">
        <v>102</v>
      </c>
      <c r="F22">
        <v>491584.59646186908</v>
      </c>
      <c r="G22" s="65"/>
    </row>
    <row r="23" spans="1:7" x14ac:dyDescent="0.25">
      <c r="A23" s="8"/>
      <c r="E23" t="s">
        <v>103</v>
      </c>
      <c r="F23">
        <f>F21/F22</f>
        <v>2.5129472743571281E-2</v>
      </c>
      <c r="G23" s="65"/>
    </row>
    <row r="24" spans="1:7" x14ac:dyDescent="0.25">
      <c r="A24" s="8"/>
      <c r="E24" t="s">
        <v>104</v>
      </c>
      <c r="F24">
        <f>F23*$C$10/$E$10</f>
        <v>4.1316912195288654E-3</v>
      </c>
      <c r="G24" s="65"/>
    </row>
    <row r="25" spans="1:7" x14ac:dyDescent="0.25">
      <c r="A25" s="8"/>
      <c r="E25" t="s">
        <v>105</v>
      </c>
      <c r="F25" s="82">
        <f>F24*122.9/51.9961</f>
        <v>9.7658257230849553E-3</v>
      </c>
      <c r="G25" s="65"/>
    </row>
    <row r="26" spans="1:7" x14ac:dyDescent="0.25">
      <c r="A26" s="8"/>
      <c r="G26" s="65"/>
    </row>
    <row r="27" spans="1:7" x14ac:dyDescent="0.25">
      <c r="A27" s="8"/>
      <c r="E27" s="76"/>
      <c r="G27" s="65"/>
    </row>
    <row r="28" spans="1:7" x14ac:dyDescent="0.25">
      <c r="A28" s="8"/>
      <c r="G28" s="65"/>
    </row>
    <row r="29" spans="1:7" x14ac:dyDescent="0.25">
      <c r="A29" s="8"/>
      <c r="G29" s="65"/>
    </row>
    <row r="30" spans="1:7" x14ac:dyDescent="0.25">
      <c r="A30" s="8"/>
      <c r="G30" s="65"/>
    </row>
    <row r="31" spans="1:7" x14ac:dyDescent="0.25">
      <c r="A31" s="8"/>
      <c r="G31" s="65"/>
    </row>
    <row r="32" spans="1:7" x14ac:dyDescent="0.25">
      <c r="A32" s="8"/>
      <c r="G32" s="65"/>
    </row>
    <row r="33" spans="1:7" x14ac:dyDescent="0.25">
      <c r="A33" s="8"/>
      <c r="G33" s="65"/>
    </row>
    <row r="34" spans="1:7" x14ac:dyDescent="0.25">
      <c r="A34" s="8"/>
      <c r="G34" s="65"/>
    </row>
    <row r="35" spans="1:7" x14ac:dyDescent="0.25">
      <c r="A35" s="8"/>
      <c r="G35" s="65"/>
    </row>
    <row r="36" spans="1:7" x14ac:dyDescent="0.25">
      <c r="A36" s="8"/>
      <c r="B36" t="s">
        <v>106</v>
      </c>
      <c r="G36" s="65"/>
    </row>
    <row r="37" spans="1:7" x14ac:dyDescent="0.25">
      <c r="A37" s="12"/>
      <c r="B37" s="11"/>
      <c r="C37" s="11"/>
      <c r="D37" s="11"/>
      <c r="E37" s="11"/>
      <c r="F37" s="11"/>
      <c r="G37" s="77"/>
    </row>
  </sheetData>
  <mergeCells count="1">
    <mergeCell ref="E13:G1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Prep</vt:lpstr>
      <vt:lpstr>Randomizer</vt:lpstr>
      <vt:lpstr>Full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2024-12-09T21:29:49Z</dcterms:modified>
  <cp:category/>
  <cp:contentStatus/>
</cp:coreProperties>
</file>